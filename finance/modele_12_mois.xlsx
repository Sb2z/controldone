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isez-moi" sheetId="1" state="visible" r:id="rId3"/>
    <sheet name="Hypothèses" sheetId="2" state="visible" r:id="rId4"/>
    <sheet name="Modè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<sst xmlns="http://schemas.openxmlformats.org/spreadsheetml/2006/main" count="219" uniqueCount="192">
  <si>
    <t xml:space="preserve">ControlDOne — Modèle financier 12 mois : mode d'emploi</t>
  </si>
  <si>
    <t xml:space="preserve">TOUS LES CHIFFRES DE CE CLASSEUR SONT DES HYPOTHÈSES, PAS DES PRÉVISIONS.</t>
  </si>
  <si>
    <t xml:space="preserve">ControlDOne est en pré-lancement : aucun client, aucun chiffre d'affaires, aucune traction à ce jour. Ce modèle sert à tester la cohérence d'une idée, pas à annoncer un résultat.</t>
  </si>
  <si>
    <t xml:space="preserve">Comment l'utiliser</t>
  </si>
  <si>
    <t xml:space="preserve">1. Feuille « Modèle », cellule B3 : choisir le scénario (prudent / central / ambitieux) dans la liste.</t>
  </si>
  <si>
    <t xml:space="preserve">2. Feuille « Hypothèses » : modifier les cellules jaunes à texte bleu (ce sont les seules entrées). La colonne F montre la valeur utilisée pour le scénario choisi.</t>
  </si>
  <si>
    <t xml:space="preserve">3. La rampe des diagnostics vendus par mois se modifie mois par mois, scénario par scénario.</t>
  </si>
  <si>
    <t xml:space="preserve">4. Coût d'IA : 0 € par dossier aujourd'hui (extraction déterministe). Pour simuler un LLM, mettre « Extracteur LLM activé » à 1 et choisir le modèle ; le coût par dossier se calcule à partir des prix catalogue 2026 par million de jetons.</t>
  </si>
  <si>
    <t xml:space="preserve">5. Toute la feuille « Modèle » est en formules : ne pas y saisir de valeurs, sauf la cellule du scénario et le seuil de viabilité.</t>
  </si>
  <si>
    <t xml:space="preserve">Ce que calcule le modèle</t>
  </si>
  <si>
    <t xml:space="preserve">Revenus par flux (diagnostic 390 €, abonnement à partir de 99 €/mois, commission 20 % des avoirs obtenus), coûts variables (Stripe, IA), coûts fixes (hébergement, domaine, RC Pro, comptabilité, plateforme agréée), marge brute, résultat mensuel, trésorerie cumulée, mois d'équilibre (avec et sans rémunération théorique du fondateur), heures nécessaires et capacité.</t>
  </si>
  <si>
    <t xml:space="preserve">Simplifications assumées</t>
  </si>
  <si>
    <t xml:space="preserve">• Montants HT, sans TVA, sans impôts ni cotisations sociales du fondateur (dépendent du statut, non choisi ici).</t>
  </si>
  <si>
    <t xml:space="preserve">• Les abonnés sont des moyennes (valeurs décimales) : nombre attendu, pas nombre réel de clients.</t>
  </si>
  <si>
    <t xml:space="preserve">• La commission est encaissée avec un délai fixe après le diagnostic ou le mois de contrôle ; le client réclame lui-même ses avoirs.</t>
  </si>
  <si>
    <t xml:space="preserve">• Le temps du fondateur n'est pas payé ; une rémunération théorique sert seulement à un second seuil d'équilibre.</t>
  </si>
  <si>
    <t xml:space="preserve">• Les frais Stripe et de plateforme agréée sont des hypothèses à vérifier sur les grilles publiques.</t>
  </si>
  <si>
    <t xml:space="preserve">Sources</t>
  </si>
  <si>
    <t xml:space="preserve">Chaque ligne de la feuille « Hypothèses » porte sa source, ou la mention « hypothèse du fondateur à valider ». Recherches internes : docs/recherche/legal_market.md (hébergement, Stripe), docs/recherche/einvoice.md (facturation électronique), docs/recherche/customs.md (réglementation douanière). Prix de lancement : docs/SPEC.md §1.1.</t>
  </si>
  <si>
    <t xml:space="preserve">Version : 2 octobre 2026. Fichier généré avec openpyxl ; formules vérifiées par recalcul LibreOffice.</t>
  </si>
  <si>
    <t xml:space="preserve">ControlDOne — Hypothèses du modèle 12 mois (toutes les valeurs sont des HYPOTHÈSES, pas des prévisions)</t>
  </si>
  <si>
    <t xml:space="preserve">Cellules jaunes à texte bleu = entrées modifiables. Colonne F = valeur utilisée par la feuille « Modèle » selon le scénario choisi en Modèle!B3. Prix de départ (diagnostic 390 €, commission 20 %, abonnement 99 €/mois) : valeurs de lancement fixées par le fondateur (docs/SPEC.md §1.1).</t>
  </si>
  <si>
    <t xml:space="preserve">Paramètre</t>
  </si>
  <si>
    <t xml:space="preserve">prudent</t>
  </si>
  <si>
    <t xml:space="preserve">central</t>
  </si>
  <si>
    <t xml:space="preserve">ambitieux</t>
  </si>
  <si>
    <t xml:space="preserve">Unité</t>
  </si>
  <si>
    <t xml:space="preserve">Valeur active</t>
  </si>
  <si>
    <t xml:space="preserve">Source / statut</t>
  </si>
  <si>
    <t xml:space="preserve">Revenus</t>
  </si>
  <si>
    <t xml:space="preserve">Prix du diagnostic (forfait)</t>
  </si>
  <si>
    <t xml:space="preserve">€ HT</t>
  </si>
  <si>
    <t xml:space="preserve">Prix de lancement du fondateur (SPEC §1.1) ; repère : les cabinets au résultat facturent souvent ~5 000 € minimum (Compass Financement)</t>
  </si>
  <si>
    <t xml:space="preserve">Prix de l'abonnement « contrôle continu »</t>
  </si>
  <si>
    <t xml:space="preserve">€ HT / mois</t>
  </si>
  <si>
    <t xml:space="preserve">Prix de lancement « à partir de 99 €/mois » (SPEC §1.1)</t>
  </si>
  <si>
    <t xml:space="preserve">Taux de commission sur avoirs obtenus</t>
  </si>
  <si>
    <t xml:space="preserve">%</t>
  </si>
  <si>
    <t xml:space="preserve">Prix de lancement (SPEC §1.1) ; repère : Ownwell prend 25–35 % des économies de taxe foncière obtenues (Crunchbase News)</t>
  </si>
  <si>
    <t xml:space="preserve">Conversion diagnostic → abonnement</t>
  </si>
  <si>
    <t xml:space="preserve">hypothèse du fondateur à valider</t>
  </si>
  <si>
    <t xml:space="preserve">Avoirs obtenus par diagnostic (dossiers passés, une fois)</t>
  </si>
  <si>
    <t xml:space="preserve">€ / diagnostic</t>
  </si>
  <si>
    <t xml:space="preserve">hypothèse du fondateur à valider. Aucune mesure indépendante des taux d'erreur des factures transitaires (2 % à 30 % selon les éditeurs)</t>
  </si>
  <si>
    <t xml:space="preserve">Avoirs obtenus par abonné et par mois</t>
  </si>
  <si>
    <t xml:space="preserve">€ / abonné / mois</t>
  </si>
  <si>
    <t xml:space="preserve">hypothèse du fondateur à valider. Repère : la viabilité en solo suppose ≥ 3 000–4 000 € trouvés par client et par an (calcul propre de l'auteur)</t>
  </si>
  <si>
    <t xml:space="preserve">Délai entre constat et avoir encaissé</t>
  </si>
  <si>
    <t xml:space="preserve">mois</t>
  </si>
  <si>
    <t xml:space="preserve">hypothèse du fondateur à valider (le client réclame lui-même, SPEC §1.2 P-3)</t>
  </si>
  <si>
    <t xml:space="preserve">Attrition mensuelle des abonnés</t>
  </si>
  <si>
    <t xml:space="preserve">% / mois</t>
  </si>
  <si>
    <t xml:space="preserve">hypothèse du fondateur à valider. Contexte : les apps d'IA perdent leurs payants 30 % plus vite (RevenueCat, State of Subscription Apps 2026)</t>
  </si>
  <si>
    <t xml:space="preserve">Volumes de travail</t>
  </si>
  <si>
    <t xml:space="preserve">Dossiers analysés par diagnostic</t>
  </si>
  <si>
    <t xml:space="preserve">dossiers</t>
  </si>
  <si>
    <t xml:space="preserve">Dossiers contrôlés par abonné et par mois</t>
  </si>
  <si>
    <t xml:space="preserve">dossiers / mois</t>
  </si>
  <si>
    <t xml:space="preserve">Coûts</t>
  </si>
  <si>
    <t xml:space="preserve">Hébergement UE bas coût</t>
  </si>
  <si>
    <t xml:space="preserve">Fourchette ~0,43 € (Scaleway STARDUST1-S) à 19,99 € HT (OVHcloud VPS-3) par mois, cf. docs/recherche/legal_market.md §6 ; choix dans la fourchette = hypothèse du fondateur à valider</t>
  </si>
  <si>
    <t xml:space="preserve">Nom de domaine</t>
  </si>
  <si>
    <t xml:space="preserve">€ / mois</t>
  </si>
  <si>
    <t xml:space="preserve">hypothèse du fondateur à valider (~15–24 €/an)</t>
  </si>
  <si>
    <t xml:space="preserve">Assurance RC Pro</t>
  </si>
  <si>
    <t xml:space="preserve">Hiscox : à partir de 13 €/mois (central/ambitieux) ; prudent 25 € = hypothèse du fondateur à valider</t>
  </si>
  <si>
    <t xml:space="preserve">Frais Stripe (part variable)</t>
  </si>
  <si>
    <t xml:space="preserve">% du CA encaissé</t>
  </si>
  <si>
    <t xml:space="preserve">hypothèse du fondateur à valider — à vérifier sur stripe.com/fr/pricing (cartes UE + Stripe Billing)</t>
  </si>
  <si>
    <t xml:space="preserve">Frais Stripe (part fixe par transaction)</t>
  </si>
  <si>
    <t xml:space="preserve">€ / transaction</t>
  </si>
  <si>
    <t xml:space="preserve">hypothèse du fondateur à valider — à vérifier sur stripe.com/fr/pricing</t>
  </si>
  <si>
    <t xml:space="preserve">Expert-comptable / outil comptable</t>
  </si>
  <si>
    <t xml:space="preserve">Plateforme agréée de facturation électronique (PA)</t>
  </si>
  <si>
    <t xml:space="preserve">hypothèse du fondateur à valider. Réception obligatoire depuis le 1er sept. 2026, émission PME au plus tard le 1er sept. 2027 (economie.gouv.fr ; docs/recherche/einvoice.md)</t>
  </si>
  <si>
    <t xml:space="preserve">Trésorerie de départ</t>
  </si>
  <si>
    <t xml:space="preserve">€</t>
  </si>
  <si>
    <t xml:space="preserve">Temps du fondateur (seul, à temps partiel)</t>
  </si>
  <si>
    <t xml:space="preserve">Heures disponibles par mois</t>
  </si>
  <si>
    <t xml:space="preserve">h / mois</t>
  </si>
  <si>
    <t xml:space="preserve">Heures par diagnostic (validation, rapport, échange)</t>
  </si>
  <si>
    <t xml:space="preserve">h / diagnostic</t>
  </si>
  <si>
    <t xml:space="preserve">Heures par abonné et par mois</t>
  </si>
  <si>
    <t xml:space="preserve">h / abonné / mois</t>
  </si>
  <si>
    <t xml:space="preserve">Heures fixes d'administration et prospection</t>
  </si>
  <si>
    <t xml:space="preserve">Rémunération horaire théorique du fondateur (non versée)</t>
  </si>
  <si>
    <t xml:space="preserve">€ / h</t>
  </si>
  <si>
    <t xml:space="preserve">hypothèse du fondateur à valider — sert uniquement à un second seuil d'équilibre</t>
  </si>
  <si>
    <t xml:space="preserve">Rampe : diagnostics vendus par mois (hypothèse du fondateur à valider)</t>
  </si>
  <si>
    <t xml:space="preserve">Scénario \ mois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</si>
  <si>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</si>
  <si>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</si>
  <si>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</si>
  <si>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</si>
  <si>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</si>
  <si>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</si>
  <si>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</si>
  <si>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</si>
  <si>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</si>
  <si>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</si>
  <si>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</si>
  <si>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</si>
  <si>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Total</t>
  </si>
  <si>
    <t xml:space="preserve">Paramètres communs à tous les scénarios : coût d'IA par dossier</t>
  </si>
  <si>
    <t xml:space="preserve">Valeur</t>
  </si>
  <si>
    <t xml:space="preserve">Extracteur LLM activé ? (0 = non, 1 = oui)</t>
  </si>
  <si>
    <t xml:space="preserve">0/1</t>
  </si>
  <si>
    <t xml:space="preserve">État actuel : 0. L'extraction est déterministe (règles + texte PDF/OCR), coût d'IA = 0 € par dossier (docs/SPEC.md P-4, docs/DECISIONS.md D-018)</t>
  </si>
  <si>
    <t xml:space="preserve">Modèle utilisé si LLM activé</t>
  </si>
  <si>
    <t xml:space="preserve">claude-sonnet-5-5</t>
  </si>
  <si>
    <t xml:space="preserve">nom</t>
  </si>
  <si>
    <t xml:space="preserve">hypothèse du fondateur à valider (liste déroulante)</t>
  </si>
  <si>
    <t xml:space="preserve">Jetons d'entrée par dossier</t>
  </si>
  <si>
    <t xml:space="preserve">jetons</t>
  </si>
  <si>
    <t xml:space="preserve">hypothèse du fondateur à valider (~4 documents de 2–3 pages + consignes)</t>
  </si>
  <si>
    <t xml:space="preserve">Jetons de sortie par dossier</t>
  </si>
  <si>
    <t xml:space="preserve">hypothèse du fondateur à valider (valeurs extraites en JSON + textes)</t>
  </si>
  <si>
    <t xml:space="preserve">Taux de change USD → EUR</t>
  </si>
  <si>
    <t xml:space="preserve">€ pour 1 $</t>
  </si>
  <si>
    <t xml:space="preserve">Valeur par défaut du code (CONTROLDONE_USD_EUR, D-018) — hypothèse du fondateur à valider</t>
  </si>
  <si>
    <t xml:space="preserve">Modèle</t>
  </si>
  <si>
    <t xml:space="preserve">$ / M jetons entrée</t>
  </si>
  <si>
    <t xml:space="preserve">$ / M jetons sortie</t>
  </si>
  <si>
    <t xml:space="preserve">€ / dossier (calculé)</t>
  </si>
  <si>
    <t xml:space="preserve">Source</t>
  </si>
  <si>
    <t xml:space="preserve">claude-opus-5-5</t>
  </si>
  <si>
    <t xml:space="preserve">Prix catalogue (list prices) 2026 en USD, tels que retenus dans le code (src/controldone/extract/llm) — à revérifier avant usage</t>
  </si>
  <si>
    <t xml:space="preserve">claude-haiku-4-5</t>
  </si>
  <si>
    <t xml:space="preserve">Coût d'IA retenu par dossier</t>
  </si>
  <si>
    <t xml:space="preserve">€ / dossier</t>
  </si>
  <si>
    <t xml:space="preserve">Calculé : 0 € tant que le LLM n'est pas activé</t>
  </si>
  <si>
    <t xml:space="preserve">Repères de contexte (non utilisés dans les calculs, cités avec leur source)</t>
  </si>
  <si>
    <t xml:space="preserve">• Les apps d'IA gagnent 41 % de plus par client payant mais les perdent 30 % plus vite — RevenueCat, State of Subscription Apps 2026</t>
  </si>
  <si>
    <t xml:space="preserve">• Ownwell prend 25–35 % des économies de taxe foncière obtenues, 500 000 clients, rentable selon son CEO — Crunchbase News</t>
  </si>
  <si>
    <t xml:space="preserve">• Les cabinets rémunérés au résultat ont souvent un minimum de facturation d'environ 5 000 € — Compass Financement</t>
  </si>
  <si>
    <t xml:space="preserve">• Taux d'erreur des factures de transitaires annoncés par des éditeurs : 2 % à 30 % — aucune mesure indépendante n'existe</t>
  </si>
  <si>
    <t xml:space="preserve">• Viabilité en solo : ≥ 3 000–4 000 € trouvés par client et par an — calcul propre de l'auteur (non sourcé à l'extérieur)</t>
  </si>
  <si>
    <t xml:space="preserve">• RC Pro à partir de 13 €/mois — Hiscox</t>
  </si>
  <si>
    <t xml:space="preserve">ControlDOne — Modèle 12 mois (scénarios d'HYPOTHÈSES, pas une prévision)</t>
  </si>
  <si>
    <t xml:space="preserve">Scénario choisi (liste) :</t>
  </si>
  <si>
    <t xml:space="preserve">← choisir prudent / central / ambitieux ; toutes les lignes ci-dessous se recalculent.</t>
  </si>
  <si>
    <t xml:space="preserve">Index du scénario (calculé)</t>
  </si>
  <si>
    <t xml:space="preserve">Mois</t>
  </si>
  <si>
    <t xml:space="preserve">Total / fin</t>
  </si>
  <si>
    <t xml:space="preserve">Volumes</t>
  </si>
  <si>
    <t xml:space="preserve">Diagnostics vendus</t>
  </si>
  <si>
    <t xml:space="preserve">Nouveaux abonnés (diagnostics × conversion)</t>
  </si>
  <si>
    <t xml:space="preserve">Abonnés en début de mois</t>
  </si>
  <si>
    <t xml:space="preserve">Départs (attrition)</t>
  </si>
  <si>
    <t xml:space="preserve">Abonnés en fin de mois</t>
  </si>
  <si>
    <t xml:space="preserve">Dossiers traités</t>
  </si>
  <si>
    <t xml:space="preserve">Avoirs obtenus par les clients (pour mémoire, base de la commission)</t>
  </si>
  <si>
    <t xml:space="preserve">Avoirs issus des diagnostics (avec délai)</t>
  </si>
  <si>
    <t xml:space="preserve">Avoirs issus du contrôle continu (avec délai)</t>
  </si>
  <si>
    <t xml:space="preserve">Revenus par flux (€ HT)</t>
  </si>
  <si>
    <t xml:space="preserve">Diagnostics</t>
  </si>
  <si>
    <t xml:space="preserve">Abonnements</t>
  </si>
  <si>
    <t xml:space="preserve">Commission sur avoirs</t>
  </si>
  <si>
    <t xml:space="preserve">Total revenus</t>
  </si>
  <si>
    <t xml:space="preserve">Coûts variables</t>
  </si>
  <si>
    <t xml:space="preserve">Frais Stripe</t>
  </si>
  <si>
    <t xml:space="preserve">Coût d'IA (dossiers × coût par dossier)</t>
  </si>
  <si>
    <t xml:space="preserve">Total coûts variables</t>
  </si>
  <si>
    <t xml:space="preserve">Marge brute</t>
  </si>
  <si>
    <t xml:space="preserve">Taux de marge brute</t>
  </si>
  <si>
    <t xml:space="preserve">Coûts fixes</t>
  </si>
  <si>
    <t xml:space="preserve">Hébergement</t>
  </si>
  <si>
    <t xml:space="preserve">Comptabilité</t>
  </si>
  <si>
    <t xml:space="preserve">Plateforme agréée (PA)</t>
  </si>
  <si>
    <t xml:space="preserve">Total coûts fixes</t>
  </si>
  <si>
    <t xml:space="preserve">Résultat et trésorerie</t>
  </si>
  <si>
    <t xml:space="preserve">Résultat mensuel (avant rémunération du fondateur)</t>
  </si>
  <si>
    <t xml:space="preserve">Trésorerie cumulée</t>
  </si>
  <si>
    <t xml:space="preserve">Temps du fondateur</t>
  </si>
  <si>
    <t xml:space="preserve">Heures nécessaires</t>
  </si>
  <si>
    <t xml:space="preserve">Heures disponibles</t>
  </si>
  <si>
    <t xml:space="preserve">Capacité dépassée ?</t>
  </si>
  <si>
    <t xml:space="preserve">Rémunération théorique (heures × taux, non versée)</t>
  </si>
  <si>
    <t xml:space="preserve">Résultat après rémunération théorique</t>
  </si>
  <si>
    <t xml:space="preserve">Revenu horaire implicite (résultat / heures)</t>
  </si>
  <si>
    <t xml:space="preserve">Indicateurs</t>
  </si>
  <si>
    <t xml:space="preserve">Premier mois d'équilibre (résultat mensuel ≥ 0)</t>
  </si>
  <si>
    <t xml:space="preserve">Premier mois d'équilibre après rémunération théorique du fondateur</t>
  </si>
  <si>
    <t xml:space="preserve">Premier mois de trésorerie cumulée ≥ 0</t>
  </si>
  <si>
    <t xml:space="preserve">(aide) mois où le résultat mensuel ≥ 0</t>
  </si>
  <si>
    <t xml:space="preserve">(aide) mois où le résultat après rémunération ≥ 0</t>
  </si>
  <si>
    <t xml:space="preserve">(aide) mois où la trésorerie cumulée ≥ 0</t>
  </si>
  <si>
    <t xml:space="preserve">Avoirs annuels obtenus par abonné (hypothèse × 12)</t>
  </si>
  <si>
    <t xml:space="preserve">Seuil de viabilité solo (calcul propre de l'auteur, bas de fourchette)</t>
  </si>
  <si>
    <t xml:space="preserve">≥ 3 000–4 000 € trouvés par client et par an — calcul propre de l'auteur, à valider</t>
  </si>
  <si>
    <t xml:space="preserve">Avoirs obtenus supposés ≥ seuil de montants trouvés ?</t>
  </si>
  <si>
    <t xml:space="preserve">Avertissement : ce tableau est un outil de réflexion. Chaque valeur repose sur des hypothèses listées dans la feuille « Hypothèses » ; aucune n'est une prévision ni un résultat constaté. Aucune traction à ce jour (pré-lancement).</t>
  </si>
</sst>
</file>

<file path=xl/styles.xml><?xml version="1.0" encoding="utf-8"?>
<styleSheet xmlns="http://schemas.openxmlformats.org/spreadsheetml/2006/main">
  <numFmts count="12">
    <numFmt numFmtId="164" formatCode="General"/>
    <numFmt numFmtId="165" formatCode="#,##0&quot; €&quot;;[RED]\-#,##0&quot; €&quot;"/>
    <numFmt numFmtId="166" formatCode="0.0%"/>
    <numFmt numFmtId="167" formatCode="0"/>
    <numFmt numFmtId="168" formatCode="#,##0.00&quot; €&quot;;[RED]\-#,##0.00&quot; €&quot;"/>
    <numFmt numFmtId="169" formatCode="0.0"/>
    <numFmt numFmtId="170" formatCode="General"/>
    <numFmt numFmtId="171" formatCode="#,##0"/>
    <numFmt numFmtId="172" formatCode="0.00"/>
    <numFmt numFmtId="173" formatCode="0.000&quot; €&quot;"/>
    <numFmt numFmtId="174" formatCode="\M0"/>
    <numFmt numFmtId="175" formatCode="@"/>
  </numFmts>
  <fonts count="16">
    <font>
      <sz val="11"/>
      <color theme="1"/>
      <name val="Calibri"/>
      <family val="2"/>
      <charset val="1"/>
    </font>
    <font>
      <sz val="10"/>
      <name val="Arial"/>
      <family val="0"/>
    </font>
    <font>
      <sz val="10"/>
      <name val="Arial"/>
      <family val="0"/>
    </font>
    <font>
      <sz val="10"/>
      <name val="Arial"/>
      <family val="0"/>
    </font>
    <font>
      <b val="true"/>
      <sz val="14"/>
      <color rgb="FF1F3A5F"/>
      <name val="Cambria"/>
      <family val="0"/>
      <charset val="1"/>
    </font>
    <font>
      <b val="true"/>
      <sz val="11"/>
      <color rgb="FF9C0006"/>
      <name val="Cambria"/>
      <family val="0"/>
      <charset val="1"/>
    </font>
    <font>
      <b val="true"/>
      <sz val="12"/>
      <color rgb="FF1F3A5F"/>
      <name val="Cambria"/>
      <family val="0"/>
      <charset val="1"/>
    </font>
    <font>
      <i val="true"/>
      <sz val="9"/>
      <color rgb="FF666666"/>
      <name val="Cambria"/>
      <family val="0"/>
      <charset val="1"/>
    </font>
    <font>
      <b val="true"/>
      <sz val="13"/>
      <color rgb="FF1F3A5F"/>
      <name val="Cambria"/>
      <family val="0"/>
      <charset val="1"/>
    </font>
    <font>
      <b val="true"/>
      <sz val="11"/>
      <color rgb="FFFFFFFF"/>
      <name val="Cambria"/>
      <family val="0"/>
      <charset val="1"/>
    </font>
    <font>
      <b val="true"/>
      <sz val="11"/>
      <color rgb="FF1F3A5F"/>
      <name val="Cambria"/>
      <family val="0"/>
      <charset val="1"/>
    </font>
    <font>
      <b val="true"/>
      <sz val="11"/>
      <color rgb="FF1F4E99"/>
      <name val="Cambria"/>
      <family val="0"/>
      <charset val="1"/>
    </font>
    <font>
      <b val="true"/>
      <sz val="11"/>
      <name val="Cambria"/>
      <family val="0"/>
      <charset val="1"/>
    </font>
    <font>
      <i val="true"/>
      <sz val="11"/>
      <color rgb="FF666666"/>
      <name val="Cambria"/>
      <family val="0"/>
      <charset val="1"/>
    </font>
    <font>
      <sz val="9"/>
      <color rgb="FF999999"/>
      <name val="Cambria"/>
      <family val="0"/>
      <charset val="1"/>
    </font>
    <font>
      <i val="true"/>
      <sz val="11"/>
      <color rgb="FF9C0006"/>
      <name val="Cambria"/>
      <family val="0"/>
      <charset val="1"/>
    </font>
  </fonts>
  <fills count="7">
    <fill>
      <patternFill patternType="none"/>
    </fill>
    <fill>
      <patternFill patternType="gray125"/>
    </fill>
    <fill>
      <patternFill patternType="solid">
        <fgColor rgb="FFFFC7CE"/>
        <bgColor rgb="FFDDE5EE"/>
      </patternFill>
    </fill>
    <fill>
      <patternFill patternType="solid">
        <fgColor rgb="FF1F3A5F"/>
        <bgColor rgb="FF333333"/>
      </patternFill>
    </fill>
    <fill>
      <patternFill patternType="solid">
        <fgColor rgb="FFDDE5EE"/>
        <bgColor rgb="FFE2EFDA"/>
      </patternFill>
    </fill>
    <fill>
      <patternFill patternType="solid">
        <fgColor rgb="FFFFF2CC"/>
        <bgColor rgb="FFE2EFDA"/>
      </patternFill>
    </fill>
    <fill>
      <patternFill patternType="solid">
        <fgColor rgb="FFE2EFDA"/>
        <bgColor rgb="FFDDE5EE"/>
      </patternFill>
    </fill>
  </fills>
  <borders count="2">
    <border diagonalUp="false" diagonalDown="false">
      <left/>
      <right/>
      <top/>
      <bottom/>
      <diagonal/>
    </border>
    <border diagonalUp="false" diagonalDown="false">
      <left style="thin">
        <color rgb="FFB7C3D0"/>
      </left>
      <right style="thin">
        <color rgb="FFB7C3D0"/>
      </right>
      <top style="thin">
        <color rgb="FFB7C3D0"/>
      </top>
      <bottom style="thin">
        <color rgb="FFB7C3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9" fontId="11" fillId="5"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2" fontId="11" fillId="5" borderId="1" xfId="0" applyFont="true" applyBorder="tru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4" fontId="9" fillId="3"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3D0"/>
      <rgbColor rgb="FF808080"/>
      <rgbColor rgb="FF9999FF"/>
      <rgbColor rgb="FF993366"/>
      <rgbColor rgb="FFFFF2CC"/>
      <rgbColor rgb="FFCCFFFF"/>
      <rgbColor rgb="FF660066"/>
      <rgbColor rgb="FFFF8080"/>
      <rgbColor rgb="FF0066CC"/>
      <rgbColor rgb="FFDDE5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666666"/>
      <rgbColor rgb="FF999999"/>
      <rgbColor rgb="FF1F3A5F"/>
      <rgbColor rgb="FF339966"/>
      <rgbColor rgb="FF003300"/>
      <rgbColor rgb="FF333300"/>
      <rgbColor rgb="FF993300"/>
      <rgbColor rgb="FF993366"/>
      <rgbColor rgb="FF1F4E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9"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8.3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4" t="s">
        <v>3</v>
      </c>
    </row>
    <row r="7" customFormat="false" ht="15" hidden="false" customHeight="false" outlineLevel="0" collapsed="false">
      <c r="A7" s="2" t="s">
        <v>4</v>
      </c>
    </row>
    <row r="8" customFormat="false" ht="28.35" hidden="false" customHeight="false" outlineLevel="0" collapsed="false">
      <c r="A8" s="2" t="s">
        <v>5</v>
      </c>
    </row>
    <row r="9" customFormat="false" ht="15" hidden="false" customHeight="false" outlineLevel="0" collapsed="false">
      <c r="A9" s="2" t="s">
        <v>6</v>
      </c>
    </row>
    <row r="10" customFormat="false" ht="28.3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4" t="s">
        <v>9</v>
      </c>
    </row>
    <row r="14" customFormat="false" ht="41.7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4" t="s">
        <v>11</v>
      </c>
    </row>
    <row r="17" customFormat="false" ht="1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4" t="s">
        <v>17</v>
      </c>
    </row>
    <row r="24" customFormat="false" ht="41.75" hidden="false" customHeight="false" outlineLevel="0" collapsed="false">
      <c r="A24" s="2" t="s">
        <v>18</v>
      </c>
    </row>
    <row r="25" customFormat="false" ht="15" hidden="false" customHeight="false" outlineLevel="0" collapsed="false">
      <c r="A25" s="2"/>
    </row>
    <row r="26" customFormat="false" ht="15" hidden="false" customHeight="false" outlineLevel="0" collapsed="false">
      <c r="A26"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4" min="2" style="0" width="13"/>
    <col collapsed="false" customWidth="true" hidden="false" outlineLevel="0" max="5" min="5" style="0" width="17"/>
    <col collapsed="false" customWidth="true" hidden="false" outlineLevel="0" max="6" min="6" style="0" width="14"/>
    <col collapsed="false" customWidth="true" hidden="false" outlineLevel="0" max="7" min="7" style="0" width="90"/>
    <col collapsed="false" customWidth="true" hidden="false" outlineLevel="0" max="14" min="8" style="0" width="7"/>
  </cols>
  <sheetData>
    <row r="1" customFormat="false" ht="16.15" hidden="false" customHeight="false" outlineLevel="0" collapsed="false">
      <c r="A1" s="6" t="s">
        <v>20</v>
      </c>
    </row>
    <row r="2" customFormat="false" ht="45" hidden="false" customHeight="true" outlineLevel="0" collapsed="false">
      <c r="A2" s="7" t="s">
        <v>21</v>
      </c>
      <c r="B2" s="7"/>
      <c r="C2" s="7"/>
      <c r="D2" s="7"/>
      <c r="E2" s="7"/>
      <c r="F2" s="7"/>
      <c r="G2" s="7"/>
    </row>
    <row r="4" customFormat="false" ht="15" hidden="false" customHeight="false" outlineLevel="0" collapsed="false">
      <c r="A4" s="8" t="s">
        <v>22</v>
      </c>
      <c r="B4" s="8" t="s">
        <v>23</v>
      </c>
      <c r="C4" s="8" t="s">
        <v>24</v>
      </c>
      <c r="D4" s="8" t="s">
        <v>25</v>
      </c>
      <c r="E4" s="8" t="s">
        <v>26</v>
      </c>
      <c r="F4" s="8" t="s">
        <v>27</v>
      </c>
      <c r="G4" s="8" t="s">
        <v>28</v>
      </c>
    </row>
    <row r="5" customFormat="false" ht="15" hidden="false" customHeight="false" outlineLevel="0" collapsed="false">
      <c r="A5" s="9" t="s">
        <v>29</v>
      </c>
      <c r="B5" s="9"/>
      <c r="C5" s="9"/>
      <c r="D5" s="9"/>
      <c r="E5" s="9"/>
      <c r="F5" s="9"/>
      <c r="G5" s="9"/>
    </row>
    <row r="6" customFormat="false" ht="28.35" hidden="false" customHeight="false" outlineLevel="0" collapsed="false">
      <c r="A6" s="2" t="s">
        <v>30</v>
      </c>
      <c r="B6" s="10" t="n">
        <v>390</v>
      </c>
      <c r="C6" s="10" t="n">
        <v>390</v>
      </c>
      <c r="D6" s="10" t="n">
        <v>390</v>
      </c>
      <c r="E6" s="11" t="s">
        <v>31</v>
      </c>
      <c r="F6" s="12" t="n">
        <f aca="false">INDEX(B6:D6,1,Modèle!$B$4)</f>
        <v>390</v>
      </c>
      <c r="G6" s="2" t="s">
        <v>32</v>
      </c>
    </row>
    <row r="7" customFormat="false" ht="15" hidden="false" customHeight="false" outlineLevel="0" collapsed="false">
      <c r="A7" s="2" t="s">
        <v>33</v>
      </c>
      <c r="B7" s="10" t="n">
        <v>99</v>
      </c>
      <c r="C7" s="10" t="n">
        <v>99</v>
      </c>
      <c r="D7" s="10" t="n">
        <v>99</v>
      </c>
      <c r="E7" s="11" t="s">
        <v>34</v>
      </c>
      <c r="F7" s="12" t="n">
        <f aca="false">INDEX(B7:D7,1,Modèle!$B$4)</f>
        <v>99</v>
      </c>
      <c r="G7" s="2" t="s">
        <v>35</v>
      </c>
    </row>
    <row r="8" customFormat="false" ht="28.35" hidden="false" customHeight="false" outlineLevel="0" collapsed="false">
      <c r="A8" s="2" t="s">
        <v>36</v>
      </c>
      <c r="B8" s="13" t="n">
        <v>0.2</v>
      </c>
      <c r="C8" s="13" t="n">
        <v>0.2</v>
      </c>
      <c r="D8" s="13" t="n">
        <v>0.2</v>
      </c>
      <c r="E8" s="11" t="s">
        <v>37</v>
      </c>
      <c r="F8" s="14" t="n">
        <f aca="false">INDEX(B8:D8,1,Modèle!$B$4)</f>
        <v>0.2</v>
      </c>
      <c r="G8" s="2" t="s">
        <v>38</v>
      </c>
    </row>
    <row r="9" customFormat="false" ht="15" hidden="false" customHeight="false" outlineLevel="0" collapsed="false">
      <c r="A9" s="2" t="s">
        <v>39</v>
      </c>
      <c r="B9" s="13" t="n">
        <v>0.15</v>
      </c>
      <c r="C9" s="13" t="n">
        <v>0.25</v>
      </c>
      <c r="D9" s="13" t="n">
        <v>0.4</v>
      </c>
      <c r="E9" s="11" t="s">
        <v>37</v>
      </c>
      <c r="F9" s="14" t="n">
        <f aca="false">INDEX(B9:D9,1,Modèle!$B$4)</f>
        <v>0.25</v>
      </c>
      <c r="G9" s="2" t="s">
        <v>40</v>
      </c>
    </row>
    <row r="10" customFormat="false" ht="28.35" hidden="false" customHeight="false" outlineLevel="0" collapsed="false">
      <c r="A10" s="2" t="s">
        <v>41</v>
      </c>
      <c r="B10" s="10" t="n">
        <v>300</v>
      </c>
      <c r="C10" s="10" t="n">
        <v>800</v>
      </c>
      <c r="D10" s="10" t="n">
        <v>1500</v>
      </c>
      <c r="E10" s="11" t="s">
        <v>42</v>
      </c>
      <c r="F10" s="12" t="n">
        <f aca="false">INDEX(B10:D10,1,Modèle!$B$4)</f>
        <v>800</v>
      </c>
      <c r="G10" s="2" t="s">
        <v>43</v>
      </c>
    </row>
    <row r="11" customFormat="false" ht="28.35" hidden="false" customHeight="false" outlineLevel="0" collapsed="false">
      <c r="A11" s="2" t="s">
        <v>44</v>
      </c>
      <c r="B11" s="10" t="n">
        <v>50</v>
      </c>
      <c r="C11" s="10" t="n">
        <v>150</v>
      </c>
      <c r="D11" s="10" t="n">
        <v>300</v>
      </c>
      <c r="E11" s="11" t="s">
        <v>45</v>
      </c>
      <c r="F11" s="12" t="n">
        <f aca="false">INDEX(B11:D11,1,Modèle!$B$4)</f>
        <v>150</v>
      </c>
      <c r="G11" s="2" t="s">
        <v>46</v>
      </c>
    </row>
    <row r="12" customFormat="false" ht="15" hidden="false" customHeight="false" outlineLevel="0" collapsed="false">
      <c r="A12" s="2" t="s">
        <v>47</v>
      </c>
      <c r="B12" s="15" t="n">
        <v>3</v>
      </c>
      <c r="C12" s="15" t="n">
        <v>2</v>
      </c>
      <c r="D12" s="15" t="n">
        <v>2</v>
      </c>
      <c r="E12" s="11" t="s">
        <v>48</v>
      </c>
      <c r="F12" s="16" t="n">
        <f aca="false">INDEX(B12:D12,1,Modèle!$B$4)</f>
        <v>2</v>
      </c>
      <c r="G12" s="2" t="s">
        <v>49</v>
      </c>
    </row>
    <row r="13" customFormat="false" ht="28.35" hidden="false" customHeight="false" outlineLevel="0" collapsed="false">
      <c r="A13" s="2" t="s">
        <v>50</v>
      </c>
      <c r="B13" s="13" t="n">
        <v>0.08</v>
      </c>
      <c r="C13" s="13" t="n">
        <v>0.05</v>
      </c>
      <c r="D13" s="13" t="n">
        <v>0.03</v>
      </c>
      <c r="E13" s="11" t="s">
        <v>51</v>
      </c>
      <c r="F13" s="14" t="n">
        <f aca="false">INDEX(B13:D13,1,Modèle!$B$4)</f>
        <v>0.05</v>
      </c>
      <c r="G13" s="2" t="s">
        <v>52</v>
      </c>
    </row>
    <row r="14" customFormat="false" ht="15" hidden="false" customHeight="false" outlineLevel="0" collapsed="false">
      <c r="A14" s="9" t="s">
        <v>53</v>
      </c>
      <c r="B14" s="9"/>
      <c r="C14" s="9"/>
      <c r="D14" s="9"/>
      <c r="E14" s="9"/>
      <c r="F14" s="9"/>
      <c r="G14" s="9"/>
    </row>
    <row r="15" customFormat="false" ht="15" hidden="false" customHeight="false" outlineLevel="0" collapsed="false">
      <c r="A15" s="2" t="s">
        <v>54</v>
      </c>
      <c r="B15" s="15" t="n">
        <v>20</v>
      </c>
      <c r="C15" s="15" t="n">
        <v>20</v>
      </c>
      <c r="D15" s="15" t="n">
        <v>20</v>
      </c>
      <c r="E15" s="11" t="s">
        <v>55</v>
      </c>
      <c r="F15" s="16" t="n">
        <f aca="false">INDEX(B15:D15,1,Modèle!$B$4)</f>
        <v>20</v>
      </c>
      <c r="G15" s="2" t="s">
        <v>40</v>
      </c>
    </row>
    <row r="16" customFormat="false" ht="15" hidden="false" customHeight="false" outlineLevel="0" collapsed="false">
      <c r="A16" s="2" t="s">
        <v>56</v>
      </c>
      <c r="B16" s="15" t="n">
        <v>8</v>
      </c>
      <c r="C16" s="15" t="n">
        <v>10</v>
      </c>
      <c r="D16" s="15" t="n">
        <v>12</v>
      </c>
      <c r="E16" s="11" t="s">
        <v>57</v>
      </c>
      <c r="F16" s="16" t="n">
        <f aca="false">INDEX(B16:D16,1,Modèle!$B$4)</f>
        <v>10</v>
      </c>
      <c r="G16" s="2" t="s">
        <v>40</v>
      </c>
    </row>
    <row r="17" customFormat="false" ht="15" hidden="false" customHeight="false" outlineLevel="0" collapsed="false">
      <c r="A17" s="9" t="s">
        <v>58</v>
      </c>
      <c r="B17" s="9"/>
      <c r="C17" s="9"/>
      <c r="D17" s="9"/>
      <c r="E17" s="9"/>
      <c r="F17" s="9"/>
      <c r="G17" s="9"/>
    </row>
    <row r="18" customFormat="false" ht="28.35" hidden="false" customHeight="false" outlineLevel="0" collapsed="false">
      <c r="A18" s="2" t="s">
        <v>59</v>
      </c>
      <c r="B18" s="17" t="n">
        <v>20</v>
      </c>
      <c r="C18" s="17" t="n">
        <v>10</v>
      </c>
      <c r="D18" s="17" t="n">
        <v>10</v>
      </c>
      <c r="E18" s="11" t="s">
        <v>34</v>
      </c>
      <c r="F18" s="18" t="n">
        <f aca="false">INDEX(B18:D18,1,Modèle!$B$4)</f>
        <v>10</v>
      </c>
      <c r="G18" s="2" t="s">
        <v>60</v>
      </c>
    </row>
    <row r="19" customFormat="false" ht="15" hidden="false" customHeight="false" outlineLevel="0" collapsed="false">
      <c r="A19" s="2" t="s">
        <v>61</v>
      </c>
      <c r="B19" s="17" t="n">
        <v>2</v>
      </c>
      <c r="C19" s="17" t="n">
        <v>1.25</v>
      </c>
      <c r="D19" s="17" t="n">
        <v>1.25</v>
      </c>
      <c r="E19" s="11" t="s">
        <v>62</v>
      </c>
      <c r="F19" s="18" t="n">
        <f aca="false">INDEX(B19:D19,1,Modèle!$B$4)</f>
        <v>1.25</v>
      </c>
      <c r="G19" s="2" t="s">
        <v>63</v>
      </c>
    </row>
    <row r="20" customFormat="false" ht="15" hidden="false" customHeight="false" outlineLevel="0" collapsed="false">
      <c r="A20" s="2" t="s">
        <v>64</v>
      </c>
      <c r="B20" s="17" t="n">
        <v>25</v>
      </c>
      <c r="C20" s="17" t="n">
        <v>13</v>
      </c>
      <c r="D20" s="17" t="n">
        <v>13</v>
      </c>
      <c r="E20" s="11" t="s">
        <v>62</v>
      </c>
      <c r="F20" s="18" t="n">
        <f aca="false">INDEX(B20:D20,1,Modèle!$B$4)</f>
        <v>13</v>
      </c>
      <c r="G20" s="2" t="s">
        <v>65</v>
      </c>
    </row>
    <row r="21" customFormat="false" ht="15" hidden="false" customHeight="false" outlineLevel="0" collapsed="false">
      <c r="A21" s="2" t="s">
        <v>66</v>
      </c>
      <c r="B21" s="13" t="n">
        <v>0.022</v>
      </c>
      <c r="C21" s="13" t="n">
        <v>0.02</v>
      </c>
      <c r="D21" s="13" t="n">
        <v>0.02</v>
      </c>
      <c r="E21" s="11" t="s">
        <v>67</v>
      </c>
      <c r="F21" s="14" t="n">
        <f aca="false">INDEX(B21:D21,1,Modèle!$B$4)</f>
        <v>0.02</v>
      </c>
      <c r="G21" s="2" t="s">
        <v>68</v>
      </c>
    </row>
    <row r="22" customFormat="false" ht="15" hidden="false" customHeight="false" outlineLevel="0" collapsed="false">
      <c r="A22" s="2" t="s">
        <v>69</v>
      </c>
      <c r="B22" s="17" t="n">
        <v>0.25</v>
      </c>
      <c r="C22" s="17" t="n">
        <v>0.25</v>
      </c>
      <c r="D22" s="17" t="n">
        <v>0.25</v>
      </c>
      <c r="E22" s="11" t="s">
        <v>70</v>
      </c>
      <c r="F22" s="18" t="n">
        <f aca="false">INDEX(B22:D22,1,Modèle!$B$4)</f>
        <v>0.25</v>
      </c>
      <c r="G22" s="2" t="s">
        <v>71</v>
      </c>
    </row>
    <row r="23" customFormat="false" ht="15" hidden="false" customHeight="false" outlineLevel="0" collapsed="false">
      <c r="A23" s="2" t="s">
        <v>72</v>
      </c>
      <c r="B23" s="10" t="n">
        <v>100</v>
      </c>
      <c r="C23" s="10" t="n">
        <v>70</v>
      </c>
      <c r="D23" s="10" t="n">
        <v>70</v>
      </c>
      <c r="E23" s="11" t="s">
        <v>34</v>
      </c>
      <c r="F23" s="12" t="n">
        <f aca="false">INDEX(B23:D23,1,Modèle!$B$4)</f>
        <v>70</v>
      </c>
      <c r="G23" s="2" t="s">
        <v>40</v>
      </c>
    </row>
    <row r="24" customFormat="false" ht="28.35" hidden="false" customHeight="false" outlineLevel="0" collapsed="false">
      <c r="A24" s="2" t="s">
        <v>73</v>
      </c>
      <c r="B24" s="10" t="n">
        <v>25</v>
      </c>
      <c r="C24" s="10" t="n">
        <v>15</v>
      </c>
      <c r="D24" s="10" t="n">
        <v>15</v>
      </c>
      <c r="E24" s="11" t="s">
        <v>34</v>
      </c>
      <c r="F24" s="12" t="n">
        <f aca="false">INDEX(B24:D24,1,Modèle!$B$4)</f>
        <v>15</v>
      </c>
      <c r="G24" s="2" t="s">
        <v>74</v>
      </c>
    </row>
    <row r="25" customFormat="false" ht="15" hidden="false" customHeight="false" outlineLevel="0" collapsed="false">
      <c r="A25" s="2" t="s">
        <v>75</v>
      </c>
      <c r="B25" s="10" t="n">
        <v>0</v>
      </c>
      <c r="C25" s="10" t="n">
        <v>0</v>
      </c>
      <c r="D25" s="10" t="n">
        <v>0</v>
      </c>
      <c r="E25" s="11" t="s">
        <v>76</v>
      </c>
      <c r="F25" s="12" t="n">
        <f aca="false">INDEX(B25:D25,1,Modèle!$B$4)</f>
        <v>0</v>
      </c>
      <c r="G25" s="2" t="s">
        <v>40</v>
      </c>
    </row>
    <row r="26" customFormat="false" ht="15" hidden="false" customHeight="false" outlineLevel="0" collapsed="false">
      <c r="A26" s="9" t="s">
        <v>77</v>
      </c>
      <c r="B26" s="9"/>
      <c r="C26" s="9"/>
      <c r="D26" s="9"/>
      <c r="E26" s="9"/>
      <c r="F26" s="9"/>
      <c r="G26" s="9"/>
    </row>
    <row r="27" customFormat="false" ht="15" hidden="false" customHeight="false" outlineLevel="0" collapsed="false">
      <c r="A27" s="2" t="s">
        <v>78</v>
      </c>
      <c r="B27" s="15" t="n">
        <v>40</v>
      </c>
      <c r="C27" s="15" t="n">
        <v>40</v>
      </c>
      <c r="D27" s="15" t="n">
        <v>60</v>
      </c>
      <c r="E27" s="11" t="s">
        <v>79</v>
      </c>
      <c r="F27" s="16" t="n">
        <f aca="false">INDEX(B27:D27,1,Modèle!$B$4)</f>
        <v>40</v>
      </c>
      <c r="G27" s="2" t="s">
        <v>40</v>
      </c>
    </row>
    <row r="28" customFormat="false" ht="15" hidden="false" customHeight="false" outlineLevel="0" collapsed="false">
      <c r="A28" s="2" t="s">
        <v>80</v>
      </c>
      <c r="B28" s="19" t="n">
        <v>6</v>
      </c>
      <c r="C28" s="19" t="n">
        <v>4</v>
      </c>
      <c r="D28" s="19" t="n">
        <v>3</v>
      </c>
      <c r="E28" s="11" t="s">
        <v>81</v>
      </c>
      <c r="F28" s="20" t="n">
        <f aca="false">INDEX(B28:D28,1,Modèle!$B$4)</f>
        <v>4</v>
      </c>
      <c r="G28" s="2" t="s">
        <v>40</v>
      </c>
    </row>
    <row r="29" customFormat="false" ht="15" hidden="false" customHeight="false" outlineLevel="0" collapsed="false">
      <c r="A29" s="2" t="s">
        <v>82</v>
      </c>
      <c r="B29" s="19" t="n">
        <v>1.5</v>
      </c>
      <c r="C29" s="19" t="n">
        <v>1</v>
      </c>
      <c r="D29" s="19" t="n">
        <v>0.75</v>
      </c>
      <c r="E29" s="11" t="s">
        <v>83</v>
      </c>
      <c r="F29" s="20" t="n">
        <f aca="false">INDEX(B29:D29,1,Modèle!$B$4)</f>
        <v>1</v>
      </c>
      <c r="G29" s="2" t="s">
        <v>40</v>
      </c>
    </row>
    <row r="30" customFormat="false" ht="15" hidden="false" customHeight="false" outlineLevel="0" collapsed="false">
      <c r="A30" s="2" t="s">
        <v>84</v>
      </c>
      <c r="B30" s="15" t="n">
        <v>10</v>
      </c>
      <c r="C30" s="15" t="n">
        <v>8</v>
      </c>
      <c r="D30" s="15" t="n">
        <v>8</v>
      </c>
      <c r="E30" s="11" t="s">
        <v>79</v>
      </c>
      <c r="F30" s="16" t="n">
        <f aca="false">INDEX(B30:D30,1,Modèle!$B$4)</f>
        <v>8</v>
      </c>
      <c r="G30" s="2" t="s">
        <v>40</v>
      </c>
    </row>
    <row r="31" customFormat="false" ht="15" hidden="false" customHeight="false" outlineLevel="0" collapsed="false">
      <c r="A31" s="2" t="s">
        <v>85</v>
      </c>
      <c r="B31" s="10" t="n">
        <v>35</v>
      </c>
      <c r="C31" s="10" t="n">
        <v>35</v>
      </c>
      <c r="D31" s="10" t="n">
        <v>35</v>
      </c>
      <c r="E31" s="11" t="s">
        <v>86</v>
      </c>
      <c r="F31" s="12" t="n">
        <f aca="false">INDEX(B31:D31,1,Modèle!$B$4)</f>
        <v>35</v>
      </c>
      <c r="G31" s="2" t="s">
        <v>87</v>
      </c>
    </row>
    <row r="33" customFormat="false" ht="15" hidden="false" customHeight="false" outlineLevel="0" collapsed="false">
      <c r="A33" s="9" t="s">
        <v>88</v>
      </c>
      <c r="B33" s="9"/>
      <c r="C33" s="9"/>
      <c r="D33" s="9"/>
      <c r="E33" s="9"/>
      <c r="F33" s="9"/>
      <c r="G33" s="9"/>
      <c r="H33" s="9"/>
      <c r="I33" s="9"/>
      <c r="J33" s="9"/>
      <c r="K33" s="9"/>
      <c r="L33" s="9"/>
      <c r="M33" s="9"/>
      <c r="N33" s="9"/>
    </row>
    <row r="34" customFormat="false" ht="15" hidden="false" customHeight="false" outlineLevel="0" collapsed="false">
      <c r="A34" s="21" t="s">
        <v>89</v>
      </c>
      <c r="B34" s="22" t="s">
        <v>90</v>
      </c>
      <c r="C34" s="22" t="s">
        <v>91</v>
      </c>
      <c r="D34" s="22" t="s">
        <v>92</v>
      </c>
      <c r="E34" s="22" t="s">
        <v>93</v>
      </c>
      <c r="F34" s="22" t="s">
        <v>94</v>
      </c>
      <c r="G34" s="22" t="s">
        <v>95</v>
      </c>
      <c r="H34" s="22" t="s">
        <v>96</v>
      </c>
      <c r="I34" s="22" t="s">
        <v>97</v>
      </c>
      <c r="J34" s="22" t="s">
        <v>98</v>
      </c>
      <c r="K34" s="22" t="s">
        <v>99</v>
      </c>
      <c r="L34" s="22" t="s">
        <v>100</v>
      </c>
      <c r="M34" s="22" t="s">
        <v>101</v>
      </c>
      <c r="N34" s="21" t="s">
        <v>102</v>
      </c>
    </row>
    <row r="35" customFormat="false" ht="15" hidden="false" customHeight="false" outlineLevel="0" collapsed="false">
      <c r="A35" s="0" t="s">
        <v>23</v>
      </c>
      <c r="B35" s="15" t="n">
        <v>0</v>
      </c>
      <c r="C35" s="15" t="n">
        <v>1</v>
      </c>
      <c r="D35" s="15" t="n">
        <v>1</v>
      </c>
      <c r="E35" s="15" t="n">
        <v>1</v>
      </c>
      <c r="F35" s="15" t="n">
        <v>2</v>
      </c>
      <c r="G35" s="15" t="n">
        <v>2</v>
      </c>
      <c r="H35" s="15" t="n">
        <v>2</v>
      </c>
      <c r="I35" s="15" t="n">
        <v>2</v>
      </c>
      <c r="J35" s="15" t="n">
        <v>3</v>
      </c>
      <c r="K35" s="15" t="n">
        <v>3</v>
      </c>
      <c r="L35" s="15" t="n">
        <v>3</v>
      </c>
      <c r="M35" s="15" t="n">
        <v>3</v>
      </c>
      <c r="N35" s="23" t="n">
        <f aca="false">SUM(B35:M35)</f>
        <v>23</v>
      </c>
    </row>
    <row r="36" customFormat="false" ht="15" hidden="false" customHeight="false" outlineLevel="0" collapsed="false">
      <c r="A36" s="0" t="s">
        <v>24</v>
      </c>
      <c r="B36" s="15" t="n">
        <v>1</v>
      </c>
      <c r="C36" s="15" t="n">
        <v>1</v>
      </c>
      <c r="D36" s="15" t="n">
        <v>2</v>
      </c>
      <c r="E36" s="15" t="n">
        <v>2</v>
      </c>
      <c r="F36" s="15" t="n">
        <v>3</v>
      </c>
      <c r="G36" s="15" t="n">
        <v>3</v>
      </c>
      <c r="H36" s="15" t="n">
        <v>4</v>
      </c>
      <c r="I36" s="15" t="n">
        <v>4</v>
      </c>
      <c r="J36" s="15" t="n">
        <v>4</v>
      </c>
      <c r="K36" s="15" t="n">
        <v>5</v>
      </c>
      <c r="L36" s="15" t="n">
        <v>5</v>
      </c>
      <c r="M36" s="15" t="n">
        <v>5</v>
      </c>
      <c r="N36" s="23" t="n">
        <f aca="false">SUM(B36:M36)</f>
        <v>39</v>
      </c>
    </row>
    <row r="37" customFormat="false" ht="15" hidden="false" customHeight="false" outlineLevel="0" collapsed="false">
      <c r="A37" s="0" t="s">
        <v>25</v>
      </c>
      <c r="B37" s="15" t="n">
        <v>1</v>
      </c>
      <c r="C37" s="15" t="n">
        <v>2</v>
      </c>
      <c r="D37" s="15" t="n">
        <v>3</v>
      </c>
      <c r="E37" s="15" t="n">
        <v>4</v>
      </c>
      <c r="F37" s="15" t="n">
        <v>5</v>
      </c>
      <c r="G37" s="15" t="n">
        <v>6</v>
      </c>
      <c r="H37" s="15" t="n">
        <v>6</v>
      </c>
      <c r="I37" s="15" t="n">
        <v>7</v>
      </c>
      <c r="J37" s="15" t="n">
        <v>8</v>
      </c>
      <c r="K37" s="15" t="n">
        <v>8</v>
      </c>
      <c r="L37" s="15" t="n">
        <v>9</v>
      </c>
      <c r="M37" s="15" t="n">
        <v>10</v>
      </c>
      <c r="N37" s="23" t="n">
        <f aca="false">SUM(B37:M37)</f>
        <v>69</v>
      </c>
    </row>
    <row r="39" customFormat="false" ht="15" hidden="false" customHeight="false" outlineLevel="0" collapsed="false">
      <c r="A39" s="9" t="s">
        <v>103</v>
      </c>
      <c r="B39" s="9"/>
      <c r="C39" s="9"/>
      <c r="D39" s="9"/>
      <c r="E39" s="9"/>
      <c r="F39" s="9"/>
      <c r="G39" s="9"/>
    </row>
    <row r="40" customFormat="false" ht="15" hidden="false" customHeight="false" outlineLevel="0" collapsed="false">
      <c r="A40" s="21" t="s">
        <v>22</v>
      </c>
      <c r="B40" s="21" t="s">
        <v>104</v>
      </c>
      <c r="C40" s="21"/>
      <c r="D40" s="21"/>
      <c r="E40" s="21" t="s">
        <v>26</v>
      </c>
      <c r="F40" s="21"/>
      <c r="G40" s="21" t="s">
        <v>28</v>
      </c>
    </row>
    <row r="41" customFormat="false" ht="28.35" hidden="false" customHeight="false" outlineLevel="0" collapsed="false">
      <c r="A41" s="2" t="s">
        <v>105</v>
      </c>
      <c r="B41" s="15" t="n">
        <v>0</v>
      </c>
      <c r="E41" s="11" t="s">
        <v>106</v>
      </c>
      <c r="G41" s="2" t="s">
        <v>107</v>
      </c>
    </row>
    <row r="42" customFormat="false" ht="15" hidden="false" customHeight="false" outlineLevel="0" collapsed="false">
      <c r="A42" s="2" t="s">
        <v>108</v>
      </c>
      <c r="B42" s="24" t="s">
        <v>109</v>
      </c>
      <c r="E42" s="11" t="s">
        <v>110</v>
      </c>
      <c r="G42" s="2" t="s">
        <v>111</v>
      </c>
    </row>
    <row r="43" customFormat="false" ht="15" hidden="false" customHeight="false" outlineLevel="0" collapsed="false">
      <c r="A43" s="2" t="s">
        <v>112</v>
      </c>
      <c r="B43" s="25" t="n">
        <v>25000</v>
      </c>
      <c r="E43" s="11" t="s">
        <v>113</v>
      </c>
      <c r="G43" s="2" t="s">
        <v>114</v>
      </c>
    </row>
    <row r="44" customFormat="false" ht="15" hidden="false" customHeight="false" outlineLevel="0" collapsed="false">
      <c r="A44" s="2" t="s">
        <v>115</v>
      </c>
      <c r="B44" s="25" t="n">
        <v>8000</v>
      </c>
      <c r="E44" s="11" t="s">
        <v>113</v>
      </c>
      <c r="G44" s="2" t="s">
        <v>116</v>
      </c>
    </row>
    <row r="45" customFormat="false" ht="15" hidden="false" customHeight="false" outlineLevel="0" collapsed="false">
      <c r="A45" s="2" t="s">
        <v>117</v>
      </c>
      <c r="B45" s="26" t="n">
        <v>0.92</v>
      </c>
      <c r="E45" s="11" t="s">
        <v>118</v>
      </c>
      <c r="G45" s="2" t="s">
        <v>119</v>
      </c>
    </row>
    <row r="47" customFormat="false" ht="15" hidden="false" customHeight="false" outlineLevel="0" collapsed="false">
      <c r="A47" s="21" t="s">
        <v>120</v>
      </c>
      <c r="B47" s="21" t="s">
        <v>121</v>
      </c>
      <c r="C47" s="21" t="s">
        <v>122</v>
      </c>
      <c r="D47" s="21" t="s">
        <v>123</v>
      </c>
      <c r="E47" s="21"/>
      <c r="F47" s="21"/>
      <c r="G47" s="21" t="s">
        <v>124</v>
      </c>
    </row>
    <row r="48" customFormat="false" ht="15" hidden="false" customHeight="false" outlineLevel="0" collapsed="false">
      <c r="A48" s="0" t="s">
        <v>125</v>
      </c>
      <c r="B48" s="26" t="n">
        <v>4</v>
      </c>
      <c r="C48" s="26" t="n">
        <v>20</v>
      </c>
      <c r="D48" s="27" t="n">
        <f aca="false">($B$43*B48+$B$44*C48)/1000000*$B$45</f>
        <v>0.2392</v>
      </c>
      <c r="G48" s="11" t="s">
        <v>126</v>
      </c>
    </row>
    <row r="49" customFormat="false" ht="15" hidden="false" customHeight="false" outlineLevel="0" collapsed="false">
      <c r="A49" s="0" t="s">
        <v>109</v>
      </c>
      <c r="B49" s="26" t="n">
        <v>2</v>
      </c>
      <c r="C49" s="26" t="n">
        <v>10</v>
      </c>
      <c r="D49" s="27" t="n">
        <f aca="false">($B$43*B49+$B$44*C49)/1000000*$B$45</f>
        <v>0.1196</v>
      </c>
      <c r="G49" s="11" t="s">
        <v>126</v>
      </c>
    </row>
    <row r="50" customFormat="false" ht="15" hidden="false" customHeight="false" outlineLevel="0" collapsed="false">
      <c r="A50" s="0" t="s">
        <v>127</v>
      </c>
      <c r="B50" s="26" t="n">
        <v>1</v>
      </c>
      <c r="C50" s="26" t="n">
        <v>5</v>
      </c>
      <c r="D50" s="27" t="n">
        <f aca="false">($B$43*B50+$B$44*C50)/1000000*$B$45</f>
        <v>0.0598</v>
      </c>
      <c r="G50" s="11" t="s">
        <v>126</v>
      </c>
    </row>
    <row r="52" customFormat="false" ht="15" hidden="false" customHeight="false" outlineLevel="0" collapsed="false">
      <c r="A52" s="2" t="s">
        <v>128</v>
      </c>
      <c r="B52" s="28" t="n">
        <f aca="false">IF($B$41=1,VLOOKUP($B$42,$A$48:$D$50,4,0),0)</f>
        <v>0</v>
      </c>
      <c r="E52" s="11" t="s">
        <v>129</v>
      </c>
      <c r="G52" s="2" t="s">
        <v>130</v>
      </c>
    </row>
    <row r="54" customFormat="false" ht="15" hidden="false" customHeight="false" outlineLevel="0" collapsed="false">
      <c r="A54" s="9" t="s">
        <v>131</v>
      </c>
      <c r="B54" s="9"/>
      <c r="C54" s="9"/>
      <c r="D54" s="9"/>
      <c r="E54" s="9"/>
      <c r="F54" s="9"/>
      <c r="G54" s="9"/>
    </row>
    <row r="55" customFormat="false" ht="15" hidden="false" customHeight="false" outlineLevel="0" collapsed="false">
      <c r="A55" s="29" t="s">
        <v>132</v>
      </c>
      <c r="B55" s="29"/>
      <c r="C55" s="29"/>
      <c r="D55" s="29"/>
      <c r="E55" s="29"/>
      <c r="F55" s="29"/>
      <c r="G55" s="29"/>
    </row>
    <row r="56" customFormat="false" ht="15" hidden="false" customHeight="false" outlineLevel="0" collapsed="false">
      <c r="A56" s="29" t="s">
        <v>133</v>
      </c>
      <c r="B56" s="29"/>
      <c r="C56" s="29"/>
      <c r="D56" s="29"/>
      <c r="E56" s="29"/>
      <c r="F56" s="29"/>
      <c r="G56" s="29"/>
    </row>
    <row r="57" customFormat="false" ht="15" hidden="false" customHeight="false" outlineLevel="0" collapsed="false">
      <c r="A57" s="29" t="s">
        <v>134</v>
      </c>
      <c r="B57" s="29"/>
      <c r="C57" s="29"/>
      <c r="D57" s="29"/>
      <c r="E57" s="29"/>
      <c r="F57" s="29"/>
      <c r="G57" s="29"/>
    </row>
    <row r="58" customFormat="false" ht="15" hidden="false" customHeight="false" outlineLevel="0" collapsed="false">
      <c r="A58" s="29" t="s">
        <v>135</v>
      </c>
      <c r="B58" s="29"/>
      <c r="C58" s="29"/>
      <c r="D58" s="29"/>
      <c r="E58" s="29"/>
      <c r="F58" s="29"/>
      <c r="G58" s="29"/>
    </row>
    <row r="59" customFormat="false" ht="15" hidden="false" customHeight="false" outlineLevel="0" collapsed="false">
      <c r="A59" s="29" t="s">
        <v>136</v>
      </c>
      <c r="B59" s="29"/>
      <c r="C59" s="29"/>
      <c r="D59" s="29"/>
      <c r="E59" s="29"/>
      <c r="F59" s="29"/>
      <c r="G59" s="29"/>
    </row>
    <row r="60" customFormat="false" ht="15" hidden="false" customHeight="false" outlineLevel="0" collapsed="false">
      <c r="A60" s="29" t="s">
        <v>137</v>
      </c>
      <c r="B60" s="29"/>
      <c r="C60" s="29"/>
      <c r="D60" s="29"/>
      <c r="E60" s="29"/>
      <c r="F60" s="29"/>
      <c r="G60" s="29"/>
    </row>
  </sheetData>
  <mergeCells count="7">
    <mergeCell ref="A2:G2"/>
    <mergeCell ref="A55:G55"/>
    <mergeCell ref="A56:G56"/>
    <mergeCell ref="A57:G57"/>
    <mergeCell ref="A58:G58"/>
    <mergeCell ref="A59:G59"/>
    <mergeCell ref="A60:G60"/>
  </mergeCells>
  <dataValidations count="1">
    <dataValidation allowBlank="false" errorStyle="stop" operator="between" showDropDown="false" showErrorMessage="false" showInputMessage="false" sqref="B42" type="list">
      <formula1>$A$48:$A$50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13" min="2" style="0" width="10"/>
    <col collapsed="false" customWidth="true" hidden="false" outlineLevel="0" max="14" min="14" style="0" width="13"/>
  </cols>
  <sheetData>
    <row r="1" customFormat="false" ht="16.15" hidden="false" customHeight="false" outlineLevel="0" collapsed="false">
      <c r="A1" s="6" t="s">
        <v>138</v>
      </c>
    </row>
    <row r="3" customFormat="false" ht="15" hidden="false" customHeight="false" outlineLevel="0" collapsed="false">
      <c r="A3" s="23" t="s">
        <v>139</v>
      </c>
      <c r="B3" s="24" t="s">
        <v>24</v>
      </c>
      <c r="C3" s="24"/>
      <c r="D3" s="30" t="s">
        <v>140</v>
      </c>
    </row>
    <row r="4" customFormat="false" ht="15" hidden="false" customHeight="false" outlineLevel="0" collapsed="false">
      <c r="A4" s="0" t="s">
        <v>141</v>
      </c>
      <c r="B4" s="0" t="n">
        <f aca="false">MATCH(B3,Hypothèses!$B$4:$D$4,0)</f>
        <v>2</v>
      </c>
    </row>
    <row r="6" customFormat="false" ht="15" hidden="false" customHeight="false" outlineLevel="0" collapsed="false">
      <c r="A6" s="21" t="s">
        <v>142</v>
      </c>
      <c r="B6" s="31" t="n">
        <v>1</v>
      </c>
      <c r="C6" s="31" t="n">
        <v>2</v>
      </c>
      <c r="D6" s="31" t="n">
        <v>3</v>
      </c>
      <c r="E6" s="31" t="n">
        <v>4</v>
      </c>
      <c r="F6" s="31" t="n">
        <v>5</v>
      </c>
      <c r="G6" s="31" t="n">
        <v>6</v>
      </c>
      <c r="H6" s="31" t="n">
        <v>7</v>
      </c>
      <c r="I6" s="31" t="n">
        <v>8</v>
      </c>
      <c r="J6" s="31" t="n">
        <v>9</v>
      </c>
      <c r="K6" s="31" t="n">
        <v>10</v>
      </c>
      <c r="L6" s="31" t="n">
        <v>11</v>
      </c>
      <c r="M6" s="31" t="n">
        <v>12</v>
      </c>
      <c r="N6" s="21" t="s">
        <v>143</v>
      </c>
    </row>
    <row r="8" customFormat="false" ht="15" hidden="false" customHeight="false" outlineLevel="0" collapsed="false">
      <c r="A8" s="9" t="s">
        <v>144</v>
      </c>
      <c r="B8" s="9"/>
      <c r="C8" s="9"/>
      <c r="D8" s="9"/>
      <c r="E8" s="9"/>
      <c r="F8" s="9"/>
      <c r="G8" s="9"/>
      <c r="H8" s="9"/>
      <c r="I8" s="9"/>
      <c r="J8" s="9"/>
      <c r="K8" s="9"/>
      <c r="L8" s="9"/>
      <c r="M8" s="9"/>
      <c r="N8" s="9"/>
    </row>
    <row r="9" customFormat="false" ht="15" hidden="false" customHeight="false" outlineLevel="0" collapsed="false">
      <c r="A9" s="0" t="s">
        <v>145</v>
      </c>
      <c r="B9" s="32" t="n">
        <f aca="false">INDEX(Hypothèses!B$35:B$37,$B$4,1)</f>
        <v>1</v>
      </c>
      <c r="C9" s="32" t="n">
        <f aca="false">INDEX(Hypothèses!C$35:C$37,$B$4,1)</f>
        <v>1</v>
      </c>
      <c r="D9" s="32" t="n">
        <f aca="false">INDEX(Hypothèses!D$35:D$37,$B$4,1)</f>
        <v>2</v>
      </c>
      <c r="E9" s="32" t="n">
        <f aca="false">INDEX(Hypothèses!E$35:E$37,$B$4,1)</f>
        <v>2</v>
      </c>
      <c r="F9" s="32" t="n">
        <f aca="false">INDEX(Hypothèses!F$35:F$37,$B$4,1)</f>
        <v>3</v>
      </c>
      <c r="G9" s="32" t="n">
        <f aca="false">INDEX(Hypothèses!G$35:G$37,$B$4,1)</f>
        <v>3</v>
      </c>
      <c r="H9" s="32" t="n">
        <f aca="false">INDEX(Hypothèses!H$35:H$37,$B$4,1)</f>
        <v>4</v>
      </c>
      <c r="I9" s="32" t="n">
        <f aca="false">INDEX(Hypothèses!I$35:I$37,$B$4,1)</f>
        <v>4</v>
      </c>
      <c r="J9" s="32" t="n">
        <f aca="false">INDEX(Hypothèses!J$35:J$37,$B$4,1)</f>
        <v>4</v>
      </c>
      <c r="K9" s="32" t="n">
        <f aca="false">INDEX(Hypothèses!K$35:K$37,$B$4,1)</f>
        <v>5</v>
      </c>
      <c r="L9" s="32" t="n">
        <f aca="false">INDEX(Hypothèses!L$35:L$37,$B$4,1)</f>
        <v>5</v>
      </c>
      <c r="M9" s="32" t="n">
        <f aca="false">INDEX(Hypothèses!M$35:M$37,$B$4,1)</f>
        <v>5</v>
      </c>
      <c r="N9" s="33" t="n">
        <f aca="false">SUM(B9:M9)</f>
        <v>39</v>
      </c>
    </row>
    <row r="10" customFormat="false" ht="15" hidden="false" customHeight="false" outlineLevel="0" collapsed="false">
      <c r="A10" s="0" t="s">
        <v>146</v>
      </c>
      <c r="B10" s="34" t="n">
        <f aca="false">B9*Hypothèses!$F$9</f>
        <v>0.25</v>
      </c>
      <c r="C10" s="34" t="n">
        <f aca="false">C9*Hypothèses!$F$9</f>
        <v>0.25</v>
      </c>
      <c r="D10" s="34" t="n">
        <f aca="false">D9*Hypothèses!$F$9</f>
        <v>0.5</v>
      </c>
      <c r="E10" s="34" t="n">
        <f aca="false">E9*Hypothèses!$F$9</f>
        <v>0.5</v>
      </c>
      <c r="F10" s="34" t="n">
        <f aca="false">F9*Hypothèses!$F$9</f>
        <v>0.75</v>
      </c>
      <c r="G10" s="34" t="n">
        <f aca="false">G9*Hypothèses!$F$9</f>
        <v>0.75</v>
      </c>
      <c r="H10" s="34" t="n">
        <f aca="false">H9*Hypothèses!$F$9</f>
        <v>1</v>
      </c>
      <c r="I10" s="34" t="n">
        <f aca="false">I9*Hypothèses!$F$9</f>
        <v>1</v>
      </c>
      <c r="J10" s="34" t="n">
        <f aca="false">J9*Hypothèses!$F$9</f>
        <v>1</v>
      </c>
      <c r="K10" s="34" t="n">
        <f aca="false">K9*Hypothèses!$F$9</f>
        <v>1.25</v>
      </c>
      <c r="L10" s="34" t="n">
        <f aca="false">L9*Hypothèses!$F$9</f>
        <v>1.25</v>
      </c>
      <c r="M10" s="34" t="n">
        <f aca="false">M9*Hypothèses!$F$9</f>
        <v>1.25</v>
      </c>
      <c r="N10" s="35" t="n">
        <f aca="false">SUM(B10:M10)</f>
        <v>9.75</v>
      </c>
    </row>
    <row r="11" customFormat="false" ht="15" hidden="false" customHeight="false" outlineLevel="0" collapsed="false">
      <c r="A11" s="0" t="s">
        <v>147</v>
      </c>
      <c r="B11" s="34" t="n">
        <f aca="false">0</f>
        <v>0</v>
      </c>
      <c r="C11" s="34" t="n">
        <f aca="false">B13</f>
        <v>0.25</v>
      </c>
      <c r="D11" s="34" t="n">
        <f aca="false">C13</f>
        <v>0.4875</v>
      </c>
      <c r="E11" s="34" t="n">
        <f aca="false">D13</f>
        <v>0.963125</v>
      </c>
      <c r="F11" s="34" t="n">
        <f aca="false">E13</f>
        <v>1.41496875</v>
      </c>
      <c r="G11" s="34" t="n">
        <f aca="false">F13</f>
        <v>2.0942203125</v>
      </c>
      <c r="H11" s="34" t="n">
        <f aca="false">G13</f>
        <v>2.739509296875</v>
      </c>
      <c r="I11" s="34" t="n">
        <f aca="false">H13</f>
        <v>3.60253383203125</v>
      </c>
      <c r="J11" s="34" t="n">
        <f aca="false">I13</f>
        <v>4.42240714042969</v>
      </c>
      <c r="K11" s="34" t="n">
        <f aca="false">J13</f>
        <v>5.2012867834082</v>
      </c>
      <c r="L11" s="34" t="n">
        <f aca="false">K13</f>
        <v>6.19122244423779</v>
      </c>
      <c r="M11" s="34" t="n">
        <f aca="false">L13</f>
        <v>7.1316613220259</v>
      </c>
      <c r="N11" s="35"/>
    </row>
    <row r="12" customFormat="false" ht="15" hidden="false" customHeight="false" outlineLevel="0" collapsed="false">
      <c r="A12" s="0" t="s">
        <v>148</v>
      </c>
      <c r="B12" s="34" t="n">
        <f aca="false">B11*Hypothèses!$F$13</f>
        <v>0</v>
      </c>
      <c r="C12" s="34" t="n">
        <f aca="false">C11*Hypothèses!$F$13</f>
        <v>0.0125</v>
      </c>
      <c r="D12" s="34" t="n">
        <f aca="false">D11*Hypothèses!$F$13</f>
        <v>0.024375</v>
      </c>
      <c r="E12" s="34" t="n">
        <f aca="false">E11*Hypothèses!$F$13</f>
        <v>0.04815625</v>
      </c>
      <c r="F12" s="34" t="n">
        <f aca="false">F11*Hypothèses!$F$13</f>
        <v>0.0707484375</v>
      </c>
      <c r="G12" s="34" t="n">
        <f aca="false">G11*Hypothèses!$F$13</f>
        <v>0.104711015625</v>
      </c>
      <c r="H12" s="34" t="n">
        <f aca="false">H11*Hypothèses!$F$13</f>
        <v>0.13697546484375</v>
      </c>
      <c r="I12" s="34" t="n">
        <f aca="false">I11*Hypothèses!$F$13</f>
        <v>0.180126691601563</v>
      </c>
      <c r="J12" s="34" t="n">
        <f aca="false">J11*Hypothèses!$F$13</f>
        <v>0.221120357021484</v>
      </c>
      <c r="K12" s="34" t="n">
        <f aca="false">K11*Hypothèses!$F$13</f>
        <v>0.26006433917041</v>
      </c>
      <c r="L12" s="34" t="n">
        <f aca="false">L11*Hypothèses!$F$13</f>
        <v>0.30956112221189</v>
      </c>
      <c r="M12" s="34" t="n">
        <f aca="false">M11*Hypothèses!$F$13</f>
        <v>0.356583066101295</v>
      </c>
      <c r="N12" s="35" t="n">
        <f aca="false">SUM(B12:M12)</f>
        <v>1.72492174407539</v>
      </c>
    </row>
    <row r="13" customFormat="false" ht="15" hidden="false" customHeight="false" outlineLevel="0" collapsed="false">
      <c r="A13" s="23" t="s">
        <v>149</v>
      </c>
      <c r="B13" s="35" t="n">
        <f aca="false">B11+B10-B12</f>
        <v>0.25</v>
      </c>
      <c r="C13" s="35" t="n">
        <f aca="false">C11+C10-C12</f>
        <v>0.4875</v>
      </c>
      <c r="D13" s="35" t="n">
        <f aca="false">D11+D10-D12</f>
        <v>0.963125</v>
      </c>
      <c r="E13" s="35" t="n">
        <f aca="false">E11+E10-E12</f>
        <v>1.41496875</v>
      </c>
      <c r="F13" s="35" t="n">
        <f aca="false">F11+F10-F12</f>
        <v>2.0942203125</v>
      </c>
      <c r="G13" s="35" t="n">
        <f aca="false">G11+G10-G12</f>
        <v>2.739509296875</v>
      </c>
      <c r="H13" s="35" t="n">
        <f aca="false">H11+H10-H12</f>
        <v>3.60253383203125</v>
      </c>
      <c r="I13" s="35" t="n">
        <f aca="false">I11+I10-I12</f>
        <v>4.42240714042969</v>
      </c>
      <c r="J13" s="35" t="n">
        <f aca="false">J11+J10-J12</f>
        <v>5.2012867834082</v>
      </c>
      <c r="K13" s="35" t="n">
        <f aca="false">K11+K10-K12</f>
        <v>6.19122244423779</v>
      </c>
      <c r="L13" s="35" t="n">
        <f aca="false">L11+L10-L12</f>
        <v>7.1316613220259</v>
      </c>
      <c r="M13" s="35" t="n">
        <f aca="false">M11+M10-M12</f>
        <v>8.02507825592461</v>
      </c>
      <c r="N13" s="35" t="n">
        <f aca="false">M13</f>
        <v>8.02507825592461</v>
      </c>
    </row>
    <row r="14" customFormat="false" ht="15" hidden="false" customHeight="false" outlineLevel="0" collapsed="false">
      <c r="A14" s="0" t="s">
        <v>150</v>
      </c>
      <c r="B14" s="36" t="n">
        <f aca="false">B9*Hypothèses!$F$15+B13*Hypothèses!$F$16</f>
        <v>22.5</v>
      </c>
      <c r="C14" s="36" t="n">
        <f aca="false">C9*Hypothèses!$F$15+C13*Hypothèses!$F$16</f>
        <v>24.875</v>
      </c>
      <c r="D14" s="36" t="n">
        <f aca="false">D9*Hypothèses!$F$15+D13*Hypothèses!$F$16</f>
        <v>49.63125</v>
      </c>
      <c r="E14" s="36" t="n">
        <f aca="false">E9*Hypothèses!$F$15+E13*Hypothèses!$F$16</f>
        <v>54.1496875</v>
      </c>
      <c r="F14" s="36" t="n">
        <f aca="false">F9*Hypothèses!$F$15+F13*Hypothèses!$F$16</f>
        <v>80.942203125</v>
      </c>
      <c r="G14" s="36" t="n">
        <f aca="false">G9*Hypothèses!$F$15+G13*Hypothèses!$F$16</f>
        <v>87.39509296875</v>
      </c>
      <c r="H14" s="36" t="n">
        <f aca="false">H9*Hypothèses!$F$15+H13*Hypothèses!$F$16</f>
        <v>116.025338320313</v>
      </c>
      <c r="I14" s="36" t="n">
        <f aca="false">I9*Hypothèses!$F$15+I13*Hypothèses!$F$16</f>
        <v>124.224071404297</v>
      </c>
      <c r="J14" s="36" t="n">
        <f aca="false">J9*Hypothèses!$F$15+J13*Hypothèses!$F$16</f>
        <v>132.012867834082</v>
      </c>
      <c r="K14" s="36" t="n">
        <f aca="false">K9*Hypothèses!$F$15+K13*Hypothèses!$F$16</f>
        <v>161.912224442378</v>
      </c>
      <c r="L14" s="36" t="n">
        <f aca="false">L9*Hypothèses!$F$15+L13*Hypothèses!$F$16</f>
        <v>171.316613220259</v>
      </c>
      <c r="M14" s="36" t="n">
        <f aca="false">M9*Hypothèses!$F$15+M13*Hypothèses!$F$16</f>
        <v>180.250782559246</v>
      </c>
      <c r="N14" s="37" t="n">
        <f aca="false">SUM(B14:M14)</f>
        <v>1205.23513137432</v>
      </c>
    </row>
    <row r="16" customFormat="false" ht="15" hidden="false" customHeight="false" outlineLevel="0" collapsed="false">
      <c r="A16" s="9" t="s">
        <v>151</v>
      </c>
      <c r="B16" s="9"/>
      <c r="C16" s="9"/>
      <c r="D16" s="9"/>
      <c r="E16" s="9"/>
      <c r="F16" s="9"/>
      <c r="G16" s="9"/>
      <c r="H16" s="9"/>
      <c r="I16" s="9"/>
      <c r="J16" s="9"/>
      <c r="K16" s="9"/>
      <c r="L16" s="9"/>
      <c r="M16" s="9"/>
      <c r="N16" s="9"/>
    </row>
    <row r="17" customFormat="false" ht="15" hidden="false" customHeight="false" outlineLevel="0" collapsed="false">
      <c r="A17" s="0" t="s">
        <v>152</v>
      </c>
      <c r="B17" s="38" t="n">
        <f aca="false">IF(B$6-Hypothèses!$F$12&gt;=1,INDEX($B$9:$M$9,1,B$6-Hypothèses!$F$12),0)*Hypothèses!$F$10</f>
        <v>0</v>
      </c>
      <c r="C17" s="38" t="n">
        <f aca="false">IF(C$6-Hypothèses!$F$12&gt;=1,INDEX($B$9:$M$9,1,C$6-Hypothèses!$F$12),0)*Hypothèses!$F$10</f>
        <v>0</v>
      </c>
      <c r="D17" s="38" t="n">
        <f aca="false">IF(D$6-Hypothèses!$F$12&gt;=1,INDEX($B$9:$M$9,1,D$6-Hypothèses!$F$12),0)*Hypothèses!$F$10</f>
        <v>800</v>
      </c>
      <c r="E17" s="38" t="n">
        <f aca="false">IF(E$6-Hypothèses!$F$12&gt;=1,INDEX($B$9:$M$9,1,E$6-Hypothèses!$F$12),0)*Hypothèses!$F$10</f>
        <v>800</v>
      </c>
      <c r="F17" s="38" t="n">
        <f aca="false">IF(F$6-Hypothèses!$F$12&gt;=1,INDEX($B$9:$M$9,1,F$6-Hypothèses!$F$12),0)*Hypothèses!$F$10</f>
        <v>1600</v>
      </c>
      <c r="G17" s="38" t="n">
        <f aca="false">IF(G$6-Hypothèses!$F$12&gt;=1,INDEX($B$9:$M$9,1,G$6-Hypothèses!$F$12),0)*Hypothèses!$F$10</f>
        <v>1600</v>
      </c>
      <c r="H17" s="38" t="n">
        <f aca="false">IF(H$6-Hypothèses!$F$12&gt;=1,INDEX($B$9:$M$9,1,H$6-Hypothèses!$F$12),0)*Hypothèses!$F$10</f>
        <v>2400</v>
      </c>
      <c r="I17" s="38" t="n">
        <f aca="false">IF(I$6-Hypothèses!$F$12&gt;=1,INDEX($B$9:$M$9,1,I$6-Hypothèses!$F$12),0)*Hypothèses!$F$10</f>
        <v>2400</v>
      </c>
      <c r="J17" s="38" t="n">
        <f aca="false">IF(J$6-Hypothèses!$F$12&gt;=1,INDEX($B$9:$M$9,1,J$6-Hypothèses!$F$12),0)*Hypothèses!$F$10</f>
        <v>3200</v>
      </c>
      <c r="K17" s="38" t="n">
        <f aca="false">IF(K$6-Hypothèses!$F$12&gt;=1,INDEX($B$9:$M$9,1,K$6-Hypothèses!$F$12),0)*Hypothèses!$F$10</f>
        <v>3200</v>
      </c>
      <c r="L17" s="38" t="n">
        <f aca="false">IF(L$6-Hypothèses!$F$12&gt;=1,INDEX($B$9:$M$9,1,L$6-Hypothèses!$F$12),0)*Hypothèses!$F$10</f>
        <v>3200</v>
      </c>
      <c r="M17" s="38" t="n">
        <f aca="false">IF(M$6-Hypothèses!$F$12&gt;=1,INDEX($B$9:$M$9,1,M$6-Hypothèses!$F$12),0)*Hypothèses!$F$10</f>
        <v>4000</v>
      </c>
      <c r="N17" s="39" t="n">
        <f aca="false">SUM(B17:M17)</f>
        <v>23200</v>
      </c>
    </row>
    <row r="18" customFormat="false" ht="15" hidden="false" customHeight="false" outlineLevel="0" collapsed="false">
      <c r="A18" s="0" t="s">
        <v>153</v>
      </c>
      <c r="B18" s="38" t="n">
        <f aca="false">IF(B$6-Hypothèses!$F$12&gt;=1,INDEX($B$13:$M$13,1,B$6-Hypothèses!$F$12),0)*Hypothèses!$F$11</f>
        <v>0</v>
      </c>
      <c r="C18" s="38" t="n">
        <f aca="false">IF(C$6-Hypothèses!$F$12&gt;=1,INDEX($B$13:$M$13,1,C$6-Hypothèses!$F$12),0)*Hypothèses!$F$11</f>
        <v>0</v>
      </c>
      <c r="D18" s="38" t="n">
        <f aca="false">IF(D$6-Hypothèses!$F$12&gt;=1,INDEX($B$13:$M$13,1,D$6-Hypothèses!$F$12),0)*Hypothèses!$F$11</f>
        <v>37.5</v>
      </c>
      <c r="E18" s="38" t="n">
        <f aca="false">IF(E$6-Hypothèses!$F$12&gt;=1,INDEX($B$13:$M$13,1,E$6-Hypothèses!$F$12),0)*Hypothèses!$F$11</f>
        <v>73.125</v>
      </c>
      <c r="F18" s="38" t="n">
        <f aca="false">IF(F$6-Hypothèses!$F$12&gt;=1,INDEX($B$13:$M$13,1,F$6-Hypothèses!$F$12),0)*Hypothèses!$F$11</f>
        <v>144.46875</v>
      </c>
      <c r="G18" s="38" t="n">
        <f aca="false">IF(G$6-Hypothèses!$F$12&gt;=1,INDEX($B$13:$M$13,1,G$6-Hypothèses!$F$12),0)*Hypothèses!$F$11</f>
        <v>212.2453125</v>
      </c>
      <c r="H18" s="38" t="n">
        <f aca="false">IF(H$6-Hypothèses!$F$12&gt;=1,INDEX($B$13:$M$13,1,H$6-Hypothèses!$F$12),0)*Hypothèses!$F$11</f>
        <v>314.133046875</v>
      </c>
      <c r="I18" s="38" t="n">
        <f aca="false">IF(I$6-Hypothèses!$F$12&gt;=1,INDEX($B$13:$M$13,1,I$6-Hypothèses!$F$12),0)*Hypothèses!$F$11</f>
        <v>410.92639453125</v>
      </c>
      <c r="J18" s="38" t="n">
        <f aca="false">IF(J$6-Hypothèses!$F$12&gt;=1,INDEX($B$13:$M$13,1,J$6-Hypothèses!$F$12),0)*Hypothèses!$F$11</f>
        <v>540.380074804688</v>
      </c>
      <c r="K18" s="38" t="n">
        <f aca="false">IF(K$6-Hypothèses!$F$12&gt;=1,INDEX($B$13:$M$13,1,K$6-Hypothèses!$F$12),0)*Hypothèses!$F$11</f>
        <v>663.361071064453</v>
      </c>
      <c r="L18" s="38" t="n">
        <f aca="false">IF(L$6-Hypothèses!$F$12&gt;=1,INDEX($B$13:$M$13,1,L$6-Hypothèses!$F$12),0)*Hypothèses!$F$11</f>
        <v>780.193017511231</v>
      </c>
      <c r="M18" s="38" t="n">
        <f aca="false">IF(M$6-Hypothèses!$F$12&gt;=1,INDEX($B$13:$M$13,1,M$6-Hypothèses!$F$12),0)*Hypothèses!$F$11</f>
        <v>928.683366635669</v>
      </c>
      <c r="N18" s="39" t="n">
        <f aca="false">SUM(B18:M18)</f>
        <v>4105.01603392229</v>
      </c>
    </row>
    <row r="20" customFormat="false" ht="15" hidden="false" customHeight="false" outlineLevel="0" collapsed="false">
      <c r="A20" s="9" t="s">
        <v>154</v>
      </c>
      <c r="B20" s="9"/>
      <c r="C20" s="9"/>
      <c r="D20" s="9"/>
      <c r="E20" s="9"/>
      <c r="F20" s="9"/>
      <c r="G20" s="9"/>
      <c r="H20" s="9"/>
      <c r="I20" s="9"/>
      <c r="J20" s="9"/>
      <c r="K20" s="9"/>
      <c r="L20" s="9"/>
      <c r="M20" s="9"/>
      <c r="N20" s="9"/>
    </row>
    <row r="21" customFormat="false" ht="15" hidden="false" customHeight="false" outlineLevel="0" collapsed="false">
      <c r="A21" s="0" t="s">
        <v>155</v>
      </c>
      <c r="B21" s="38" t="n">
        <f aca="false">B9*Hypothèses!$F$6</f>
        <v>390</v>
      </c>
      <c r="C21" s="38" t="n">
        <f aca="false">C9*Hypothèses!$F$6</f>
        <v>390</v>
      </c>
      <c r="D21" s="38" t="n">
        <f aca="false">D9*Hypothèses!$F$6</f>
        <v>780</v>
      </c>
      <c r="E21" s="38" t="n">
        <f aca="false">E9*Hypothèses!$F$6</f>
        <v>780</v>
      </c>
      <c r="F21" s="38" t="n">
        <f aca="false">F9*Hypothèses!$F$6</f>
        <v>1170</v>
      </c>
      <c r="G21" s="38" t="n">
        <f aca="false">G9*Hypothèses!$F$6</f>
        <v>1170</v>
      </c>
      <c r="H21" s="38" t="n">
        <f aca="false">H9*Hypothèses!$F$6</f>
        <v>1560</v>
      </c>
      <c r="I21" s="38" t="n">
        <f aca="false">I9*Hypothèses!$F$6</f>
        <v>1560</v>
      </c>
      <c r="J21" s="38" t="n">
        <f aca="false">J9*Hypothèses!$F$6</f>
        <v>1560</v>
      </c>
      <c r="K21" s="38" t="n">
        <f aca="false">K9*Hypothèses!$F$6</f>
        <v>1950</v>
      </c>
      <c r="L21" s="38" t="n">
        <f aca="false">L9*Hypothèses!$F$6</f>
        <v>1950</v>
      </c>
      <c r="M21" s="38" t="n">
        <f aca="false">M9*Hypothèses!$F$6</f>
        <v>1950</v>
      </c>
      <c r="N21" s="39" t="n">
        <f aca="false">SUM(B21:M21)</f>
        <v>15210</v>
      </c>
    </row>
    <row r="22" customFormat="false" ht="15" hidden="false" customHeight="false" outlineLevel="0" collapsed="false">
      <c r="A22" s="0" t="s">
        <v>156</v>
      </c>
      <c r="B22" s="38" t="n">
        <f aca="false">B13*Hypothèses!$F$7</f>
        <v>24.75</v>
      </c>
      <c r="C22" s="38" t="n">
        <f aca="false">C13*Hypothèses!$F$7</f>
        <v>48.2625</v>
      </c>
      <c r="D22" s="38" t="n">
        <f aca="false">D13*Hypothèses!$F$7</f>
        <v>95.349375</v>
      </c>
      <c r="E22" s="38" t="n">
        <f aca="false">E13*Hypothèses!$F$7</f>
        <v>140.08190625</v>
      </c>
      <c r="F22" s="38" t="n">
        <f aca="false">F13*Hypothèses!$F$7</f>
        <v>207.3278109375</v>
      </c>
      <c r="G22" s="38" t="n">
        <f aca="false">G13*Hypothèses!$F$7</f>
        <v>271.211420390625</v>
      </c>
      <c r="H22" s="38" t="n">
        <f aca="false">H13*Hypothèses!$F$7</f>
        <v>356.650849371094</v>
      </c>
      <c r="I22" s="38" t="n">
        <f aca="false">I13*Hypothèses!$F$7</f>
        <v>437.818306902539</v>
      </c>
      <c r="J22" s="38" t="n">
        <f aca="false">J13*Hypothèses!$F$7</f>
        <v>514.927391557412</v>
      </c>
      <c r="K22" s="38" t="n">
        <f aca="false">K13*Hypothèses!$F$7</f>
        <v>612.931021979542</v>
      </c>
      <c r="L22" s="38" t="n">
        <f aca="false">L13*Hypothèses!$F$7</f>
        <v>706.034470880565</v>
      </c>
      <c r="M22" s="38" t="n">
        <f aca="false">M13*Hypothèses!$F$7</f>
        <v>794.482747336536</v>
      </c>
      <c r="N22" s="39" t="n">
        <f aca="false">SUM(B22:M22)</f>
        <v>4209.82780060581</v>
      </c>
    </row>
    <row r="23" customFormat="false" ht="15" hidden="false" customHeight="false" outlineLevel="0" collapsed="false">
      <c r="A23" s="0" t="s">
        <v>157</v>
      </c>
      <c r="B23" s="38" t="n">
        <f aca="false">(B17+B18)*Hypothèses!$F$8</f>
        <v>0</v>
      </c>
      <c r="C23" s="38" t="n">
        <f aca="false">(C17+C18)*Hypothèses!$F$8</f>
        <v>0</v>
      </c>
      <c r="D23" s="38" t="n">
        <f aca="false">(D17+D18)*Hypothèses!$F$8</f>
        <v>167.5</v>
      </c>
      <c r="E23" s="38" t="n">
        <f aca="false">(E17+E18)*Hypothèses!$F$8</f>
        <v>174.625</v>
      </c>
      <c r="F23" s="38" t="n">
        <f aca="false">(F17+F18)*Hypothèses!$F$8</f>
        <v>348.89375</v>
      </c>
      <c r="G23" s="38" t="n">
        <f aca="false">(G17+G18)*Hypothèses!$F$8</f>
        <v>362.4490625</v>
      </c>
      <c r="H23" s="38" t="n">
        <f aca="false">(H17+H18)*Hypothèses!$F$8</f>
        <v>542.826609375</v>
      </c>
      <c r="I23" s="38" t="n">
        <f aca="false">(I17+I18)*Hypothèses!$F$8</f>
        <v>562.18527890625</v>
      </c>
      <c r="J23" s="38" t="n">
        <f aca="false">(J17+J18)*Hypothèses!$F$8</f>
        <v>748.076014960938</v>
      </c>
      <c r="K23" s="38" t="n">
        <f aca="false">(K17+K18)*Hypothèses!$F$8</f>
        <v>772.672214212891</v>
      </c>
      <c r="L23" s="38" t="n">
        <f aca="false">(L17+L18)*Hypothèses!$F$8</f>
        <v>796.038603502246</v>
      </c>
      <c r="M23" s="38" t="n">
        <f aca="false">(M17+M18)*Hypothèses!$F$8</f>
        <v>985.736673327134</v>
      </c>
      <c r="N23" s="39" t="n">
        <f aca="false">SUM(B23:M23)</f>
        <v>5461.00320678446</v>
      </c>
    </row>
    <row r="24" customFormat="false" ht="15" hidden="false" customHeight="false" outlineLevel="0" collapsed="false">
      <c r="A24" s="23" t="s">
        <v>158</v>
      </c>
      <c r="B24" s="39" t="n">
        <f aca="false">B21+B22+B23</f>
        <v>414.75</v>
      </c>
      <c r="C24" s="39" t="n">
        <f aca="false">C21+C22+C23</f>
        <v>438.2625</v>
      </c>
      <c r="D24" s="39" t="n">
        <f aca="false">D21+D22+D23</f>
        <v>1042.849375</v>
      </c>
      <c r="E24" s="39" t="n">
        <f aca="false">E21+E22+E23</f>
        <v>1094.70690625</v>
      </c>
      <c r="F24" s="39" t="n">
        <f aca="false">F21+F22+F23</f>
        <v>1726.2215609375</v>
      </c>
      <c r="G24" s="39" t="n">
        <f aca="false">G21+G22+G23</f>
        <v>1803.66048289063</v>
      </c>
      <c r="H24" s="39" t="n">
        <f aca="false">H21+H22+H23</f>
        <v>2459.47745874609</v>
      </c>
      <c r="I24" s="39" t="n">
        <f aca="false">I21+I22+I23</f>
        <v>2560.00358580879</v>
      </c>
      <c r="J24" s="39" t="n">
        <f aca="false">J21+J22+J23</f>
        <v>2823.00340651835</v>
      </c>
      <c r="K24" s="39" t="n">
        <f aca="false">K21+K22+K23</f>
        <v>3335.60323619243</v>
      </c>
      <c r="L24" s="39" t="n">
        <f aca="false">L21+L22+L23</f>
        <v>3452.07307438281</v>
      </c>
      <c r="M24" s="39" t="n">
        <f aca="false">M21+M22+M23</f>
        <v>3730.21942066367</v>
      </c>
      <c r="N24" s="39" t="n">
        <f aca="false">SUM(B24:M24)</f>
        <v>24880.8310073903</v>
      </c>
    </row>
    <row r="26" customFormat="false" ht="15" hidden="false" customHeight="false" outlineLevel="0" collapsed="false">
      <c r="A26" s="9" t="s">
        <v>159</v>
      </c>
      <c r="B26" s="9"/>
      <c r="C26" s="9"/>
      <c r="D26" s="9"/>
      <c r="E26" s="9"/>
      <c r="F26" s="9"/>
      <c r="G26" s="9"/>
      <c r="H26" s="9"/>
      <c r="I26" s="9"/>
      <c r="J26" s="9"/>
      <c r="K26" s="9"/>
      <c r="L26" s="9"/>
      <c r="M26" s="9"/>
      <c r="N26" s="9"/>
    </row>
    <row r="27" customFormat="false" ht="15" hidden="false" customHeight="false" outlineLevel="0" collapsed="false">
      <c r="A27" s="0" t="s">
        <v>160</v>
      </c>
      <c r="B27" s="40" t="n">
        <f aca="false">B24*Hypothèses!$F$21+(B9+B13)*Hypothèses!$F$22</f>
        <v>8.6075</v>
      </c>
      <c r="C27" s="40" t="n">
        <f aca="false">C24*Hypothèses!$F$21+(C9+C13)*Hypothèses!$F$22</f>
        <v>9.137125</v>
      </c>
      <c r="D27" s="40" t="n">
        <f aca="false">D24*Hypothèses!$F$21+(D9+D13)*Hypothèses!$F$22</f>
        <v>21.59776875</v>
      </c>
      <c r="E27" s="40" t="n">
        <f aca="false">E24*Hypothèses!$F$21+(E9+E13)*Hypothèses!$F$22</f>
        <v>22.7478803125</v>
      </c>
      <c r="F27" s="40" t="n">
        <f aca="false">F24*Hypothèses!$F$21+(F9+F13)*Hypothèses!$F$22</f>
        <v>35.797986296875</v>
      </c>
      <c r="G27" s="40" t="n">
        <f aca="false">G24*Hypothèses!$F$21+(G9+G13)*Hypothèses!$F$22</f>
        <v>37.5080869820313</v>
      </c>
      <c r="H27" s="40" t="n">
        <f aca="false">H24*Hypothèses!$F$21+(H9+H13)*Hypothèses!$F$22</f>
        <v>51.0901826329297</v>
      </c>
      <c r="I27" s="40" t="n">
        <f aca="false">I24*Hypothèses!$F$21+(I9+I13)*Hypothèses!$F$22</f>
        <v>53.3056735012832</v>
      </c>
      <c r="J27" s="40" t="n">
        <f aca="false">J24*Hypothèses!$F$21+(J9+J13)*Hypothèses!$F$22</f>
        <v>58.7603898262191</v>
      </c>
      <c r="K27" s="40" t="n">
        <f aca="false">K24*Hypothèses!$F$21+(K9+K13)*Hypothèses!$F$22</f>
        <v>69.5098703349081</v>
      </c>
      <c r="L27" s="40" t="n">
        <f aca="false">L24*Hypothèses!$F$21+(L9+L13)*Hypothèses!$F$22</f>
        <v>72.0743768181627</v>
      </c>
      <c r="M27" s="40" t="n">
        <f aca="false">M24*Hypothèses!$F$21+(M9+M13)*Hypothèses!$F$22</f>
        <v>77.8606579772546</v>
      </c>
      <c r="N27" s="41" t="n">
        <f aca="false">SUM(B27:M27)</f>
        <v>517.997498432164</v>
      </c>
    </row>
    <row r="28" customFormat="false" ht="15" hidden="false" customHeight="false" outlineLevel="0" collapsed="false">
      <c r="A28" s="0" t="s">
        <v>161</v>
      </c>
      <c r="B28" s="40" t="n">
        <f aca="false">B14*Hypothèses!$B$52</f>
        <v>0</v>
      </c>
      <c r="C28" s="40" t="n">
        <f aca="false">C14*Hypothèses!$B$52</f>
        <v>0</v>
      </c>
      <c r="D28" s="40" t="n">
        <f aca="false">D14*Hypothèses!$B$52</f>
        <v>0</v>
      </c>
      <c r="E28" s="40" t="n">
        <f aca="false">E14*Hypothèses!$B$52</f>
        <v>0</v>
      </c>
      <c r="F28" s="40" t="n">
        <f aca="false">F14*Hypothèses!$B$52</f>
        <v>0</v>
      </c>
      <c r="G28" s="40" t="n">
        <f aca="false">G14*Hypothèses!$B$52</f>
        <v>0</v>
      </c>
      <c r="H28" s="40" t="n">
        <f aca="false">H14*Hypothèses!$B$52</f>
        <v>0</v>
      </c>
      <c r="I28" s="40" t="n">
        <f aca="false">I14*Hypothèses!$B$52</f>
        <v>0</v>
      </c>
      <c r="J28" s="40" t="n">
        <f aca="false">J14*Hypothèses!$B$52</f>
        <v>0</v>
      </c>
      <c r="K28" s="40" t="n">
        <f aca="false">K14*Hypothèses!$B$52</f>
        <v>0</v>
      </c>
      <c r="L28" s="40" t="n">
        <f aca="false">L14*Hypothèses!$B$52</f>
        <v>0</v>
      </c>
      <c r="M28" s="40" t="n">
        <f aca="false">M14*Hypothèses!$B$52</f>
        <v>0</v>
      </c>
      <c r="N28" s="41" t="n">
        <f aca="false">SUM(B28:M28)</f>
        <v>0</v>
      </c>
    </row>
    <row r="29" customFormat="false" ht="15" hidden="false" customHeight="false" outlineLevel="0" collapsed="false">
      <c r="A29" s="23" t="s">
        <v>162</v>
      </c>
      <c r="B29" s="41" t="n">
        <f aca="false">B27+B28</f>
        <v>8.6075</v>
      </c>
      <c r="C29" s="41" t="n">
        <f aca="false">C27+C28</f>
        <v>9.137125</v>
      </c>
      <c r="D29" s="41" t="n">
        <f aca="false">D27+D28</f>
        <v>21.59776875</v>
      </c>
      <c r="E29" s="41" t="n">
        <f aca="false">E27+E28</f>
        <v>22.7478803125</v>
      </c>
      <c r="F29" s="41" t="n">
        <f aca="false">F27+F28</f>
        <v>35.797986296875</v>
      </c>
      <c r="G29" s="41" t="n">
        <f aca="false">G27+G28</f>
        <v>37.5080869820313</v>
      </c>
      <c r="H29" s="41" t="n">
        <f aca="false">H27+H28</f>
        <v>51.0901826329297</v>
      </c>
      <c r="I29" s="41" t="n">
        <f aca="false">I27+I28</f>
        <v>53.3056735012832</v>
      </c>
      <c r="J29" s="41" t="n">
        <f aca="false">J27+J28</f>
        <v>58.7603898262191</v>
      </c>
      <c r="K29" s="41" t="n">
        <f aca="false">K27+K28</f>
        <v>69.5098703349081</v>
      </c>
      <c r="L29" s="41" t="n">
        <f aca="false">L27+L28</f>
        <v>72.0743768181627</v>
      </c>
      <c r="M29" s="41" t="n">
        <f aca="false">M27+M28</f>
        <v>77.8606579772546</v>
      </c>
      <c r="N29" s="41" t="n">
        <f aca="false">SUM(B29:M29)</f>
        <v>517.997498432164</v>
      </c>
    </row>
    <row r="30" customFormat="false" ht="15" hidden="false" customHeight="false" outlineLevel="0" collapsed="false">
      <c r="A30" s="23" t="s">
        <v>163</v>
      </c>
      <c r="B30" s="39" t="n">
        <f aca="false">B24-B29</f>
        <v>406.1425</v>
      </c>
      <c r="C30" s="39" t="n">
        <f aca="false">C24-C29</f>
        <v>429.125375</v>
      </c>
      <c r="D30" s="39" t="n">
        <f aca="false">D24-D29</f>
        <v>1021.25160625</v>
      </c>
      <c r="E30" s="39" t="n">
        <f aca="false">E24-E29</f>
        <v>1071.9590259375</v>
      </c>
      <c r="F30" s="39" t="n">
        <f aca="false">F24-F29</f>
        <v>1690.42357464063</v>
      </c>
      <c r="G30" s="39" t="n">
        <f aca="false">G24-G29</f>
        <v>1766.15239590859</v>
      </c>
      <c r="H30" s="39" t="n">
        <f aca="false">H24-H29</f>
        <v>2408.38727611316</v>
      </c>
      <c r="I30" s="39" t="n">
        <f aca="false">I24-I29</f>
        <v>2506.69791230751</v>
      </c>
      <c r="J30" s="39" t="n">
        <f aca="false">J24-J29</f>
        <v>2764.24301669213</v>
      </c>
      <c r="K30" s="39" t="n">
        <f aca="false">K24-K29</f>
        <v>3266.09336585752</v>
      </c>
      <c r="L30" s="39" t="n">
        <f aca="false">L24-L29</f>
        <v>3379.99869756465</v>
      </c>
      <c r="M30" s="39" t="n">
        <f aca="false">M24-M29</f>
        <v>3652.35876268642</v>
      </c>
      <c r="N30" s="39" t="n">
        <f aca="false">SUM(B30:M30)</f>
        <v>24362.8335089581</v>
      </c>
    </row>
    <row r="31" customFormat="false" ht="15" hidden="false" customHeight="false" outlineLevel="0" collapsed="false">
      <c r="A31" s="0" t="s">
        <v>164</v>
      </c>
      <c r="B31" s="42" t="n">
        <f aca="false">IF(B24&gt;0,B30/B24,0)</f>
        <v>0.979246534056661</v>
      </c>
      <c r="C31" s="42" t="n">
        <f aca="false">IF(C24&gt;0,C30/C24,0)</f>
        <v>0.979151478851145</v>
      </c>
      <c r="D31" s="42" t="n">
        <f aca="false">IF(D24&gt;0,D30/D24,0)</f>
        <v>0.979289656523983</v>
      </c>
      <c r="E31" s="42" t="n">
        <f aca="false">IF(E24&gt;0,E30/E24,0)</f>
        <v>0.979220118021887</v>
      </c>
      <c r="F31" s="42" t="n">
        <f aca="false">IF(F24&gt;0,F30/F24,0)</f>
        <v>0.979262229654093</v>
      </c>
      <c r="G31" s="42" t="n">
        <f aca="false">IF(G24&gt;0,G30/G24,0)</f>
        <v>0.979204463734816</v>
      </c>
      <c r="H31" s="42" t="n">
        <f aca="false">IF(H24&gt;0,H30/H24,0)</f>
        <v>0.979227220623125</v>
      </c>
      <c r="I31" s="42" t="n">
        <f aca="false">IF(I24&gt;0,I30/I24,0)</f>
        <v>0.979177500454773</v>
      </c>
      <c r="J31" s="42" t="n">
        <f aca="false">IF(J24&gt;0,J30/J24,0)</f>
        <v>0.979185150931614</v>
      </c>
      <c r="K31" s="42" t="n">
        <f aca="false">IF(K24&gt;0,K30/K24,0)</f>
        <v>0.979161229494952</v>
      </c>
      <c r="L31" s="42" t="n">
        <f aca="false">IF(L24&gt;0,L30/L24,0)</f>
        <v>0.979121422036801</v>
      </c>
      <c r="M31" s="42" t="n">
        <f aca="false">IF(M24&gt;0,M30/M24,0)</f>
        <v>0.979127056830506</v>
      </c>
      <c r="N31" s="43" t="n">
        <f aca="false">IF(N24&gt;0,N30/N24,0)</f>
        <v>0.97918086022616</v>
      </c>
    </row>
    <row r="33" customFormat="false" ht="15" hidden="false" customHeight="false" outlineLevel="0" collapsed="false">
      <c r="A33" s="9" t="s">
        <v>165</v>
      </c>
      <c r="B33" s="9"/>
      <c r="C33" s="9"/>
      <c r="D33" s="9"/>
      <c r="E33" s="9"/>
      <c r="F33" s="9"/>
      <c r="G33" s="9"/>
      <c r="H33" s="9"/>
      <c r="I33" s="9"/>
      <c r="J33" s="9"/>
      <c r="K33" s="9"/>
      <c r="L33" s="9"/>
      <c r="M33" s="9"/>
      <c r="N33" s="9"/>
    </row>
    <row r="34" customFormat="false" ht="15" hidden="false" customHeight="false" outlineLevel="0" collapsed="false">
      <c r="A34" s="0" t="s">
        <v>166</v>
      </c>
      <c r="B34" s="40" t="n">
        <f aca="false">Hypothèses!$F$18</f>
        <v>10</v>
      </c>
      <c r="C34" s="40" t="n">
        <f aca="false">Hypothèses!$F$18</f>
        <v>10</v>
      </c>
      <c r="D34" s="40" t="n">
        <f aca="false">Hypothèses!$F$18</f>
        <v>10</v>
      </c>
      <c r="E34" s="40" t="n">
        <f aca="false">Hypothèses!$F$18</f>
        <v>10</v>
      </c>
      <c r="F34" s="40" t="n">
        <f aca="false">Hypothèses!$F$18</f>
        <v>10</v>
      </c>
      <c r="G34" s="40" t="n">
        <f aca="false">Hypothèses!$F$18</f>
        <v>10</v>
      </c>
      <c r="H34" s="40" t="n">
        <f aca="false">Hypothèses!$F$18</f>
        <v>10</v>
      </c>
      <c r="I34" s="40" t="n">
        <f aca="false">Hypothèses!$F$18</f>
        <v>10</v>
      </c>
      <c r="J34" s="40" t="n">
        <f aca="false">Hypothèses!$F$18</f>
        <v>10</v>
      </c>
      <c r="K34" s="40" t="n">
        <f aca="false">Hypothèses!$F$18</f>
        <v>10</v>
      </c>
      <c r="L34" s="40" t="n">
        <f aca="false">Hypothèses!$F$18</f>
        <v>10</v>
      </c>
      <c r="M34" s="40" t="n">
        <f aca="false">Hypothèses!$F$18</f>
        <v>10</v>
      </c>
      <c r="N34" s="41" t="n">
        <f aca="false">SUM(B34:M34)</f>
        <v>120</v>
      </c>
    </row>
    <row r="35" customFormat="false" ht="15" hidden="false" customHeight="false" outlineLevel="0" collapsed="false">
      <c r="A35" s="0" t="s">
        <v>61</v>
      </c>
      <c r="B35" s="40" t="n">
        <f aca="false">Hypothèses!$F$19</f>
        <v>1.25</v>
      </c>
      <c r="C35" s="40" t="n">
        <f aca="false">Hypothèses!$F$19</f>
        <v>1.25</v>
      </c>
      <c r="D35" s="40" t="n">
        <f aca="false">Hypothèses!$F$19</f>
        <v>1.25</v>
      </c>
      <c r="E35" s="40" t="n">
        <f aca="false">Hypothèses!$F$19</f>
        <v>1.25</v>
      </c>
      <c r="F35" s="40" t="n">
        <f aca="false">Hypothèses!$F$19</f>
        <v>1.25</v>
      </c>
      <c r="G35" s="40" t="n">
        <f aca="false">Hypothèses!$F$19</f>
        <v>1.25</v>
      </c>
      <c r="H35" s="40" t="n">
        <f aca="false">Hypothèses!$F$19</f>
        <v>1.25</v>
      </c>
      <c r="I35" s="40" t="n">
        <f aca="false">Hypothèses!$F$19</f>
        <v>1.25</v>
      </c>
      <c r="J35" s="40" t="n">
        <f aca="false">Hypothèses!$F$19</f>
        <v>1.25</v>
      </c>
      <c r="K35" s="40" t="n">
        <f aca="false">Hypothèses!$F$19</f>
        <v>1.25</v>
      </c>
      <c r="L35" s="40" t="n">
        <f aca="false">Hypothèses!$F$19</f>
        <v>1.25</v>
      </c>
      <c r="M35" s="40" t="n">
        <f aca="false">Hypothèses!$F$19</f>
        <v>1.25</v>
      </c>
      <c r="N35" s="41" t="n">
        <f aca="false">SUM(B35:M35)</f>
        <v>15</v>
      </c>
    </row>
    <row r="36" customFormat="false" ht="15" hidden="false" customHeight="false" outlineLevel="0" collapsed="false">
      <c r="A36" s="0" t="s">
        <v>64</v>
      </c>
      <c r="B36" s="40" t="n">
        <f aca="false">Hypothèses!$F$20</f>
        <v>13</v>
      </c>
      <c r="C36" s="40" t="n">
        <f aca="false">Hypothèses!$F$20</f>
        <v>13</v>
      </c>
      <c r="D36" s="40" t="n">
        <f aca="false">Hypothèses!$F$20</f>
        <v>13</v>
      </c>
      <c r="E36" s="40" t="n">
        <f aca="false">Hypothèses!$F$20</f>
        <v>13</v>
      </c>
      <c r="F36" s="40" t="n">
        <f aca="false">Hypothèses!$F$20</f>
        <v>13</v>
      </c>
      <c r="G36" s="40" t="n">
        <f aca="false">Hypothèses!$F$20</f>
        <v>13</v>
      </c>
      <c r="H36" s="40" t="n">
        <f aca="false">Hypothèses!$F$20</f>
        <v>13</v>
      </c>
      <c r="I36" s="40" t="n">
        <f aca="false">Hypothèses!$F$20</f>
        <v>13</v>
      </c>
      <c r="J36" s="40" t="n">
        <f aca="false">Hypothèses!$F$20</f>
        <v>13</v>
      </c>
      <c r="K36" s="40" t="n">
        <f aca="false">Hypothèses!$F$20</f>
        <v>13</v>
      </c>
      <c r="L36" s="40" t="n">
        <f aca="false">Hypothèses!$F$20</f>
        <v>13</v>
      </c>
      <c r="M36" s="40" t="n">
        <f aca="false">Hypothèses!$F$20</f>
        <v>13</v>
      </c>
      <c r="N36" s="41" t="n">
        <f aca="false">SUM(B36:M36)</f>
        <v>156</v>
      </c>
    </row>
    <row r="37" customFormat="false" ht="15" hidden="false" customHeight="false" outlineLevel="0" collapsed="false">
      <c r="A37" s="0" t="s">
        <v>167</v>
      </c>
      <c r="B37" s="40" t="n">
        <f aca="false">Hypothèses!$F$23</f>
        <v>70</v>
      </c>
      <c r="C37" s="40" t="n">
        <f aca="false">Hypothèses!$F$23</f>
        <v>70</v>
      </c>
      <c r="D37" s="40" t="n">
        <f aca="false">Hypothèses!$F$23</f>
        <v>70</v>
      </c>
      <c r="E37" s="40" t="n">
        <f aca="false">Hypothèses!$F$23</f>
        <v>70</v>
      </c>
      <c r="F37" s="40" t="n">
        <f aca="false">Hypothèses!$F$23</f>
        <v>70</v>
      </c>
      <c r="G37" s="40" t="n">
        <f aca="false">Hypothèses!$F$23</f>
        <v>70</v>
      </c>
      <c r="H37" s="40" t="n">
        <f aca="false">Hypothèses!$F$23</f>
        <v>70</v>
      </c>
      <c r="I37" s="40" t="n">
        <f aca="false">Hypothèses!$F$23</f>
        <v>70</v>
      </c>
      <c r="J37" s="40" t="n">
        <f aca="false">Hypothèses!$F$23</f>
        <v>70</v>
      </c>
      <c r="K37" s="40" t="n">
        <f aca="false">Hypothèses!$F$23</f>
        <v>70</v>
      </c>
      <c r="L37" s="40" t="n">
        <f aca="false">Hypothèses!$F$23</f>
        <v>70</v>
      </c>
      <c r="M37" s="40" t="n">
        <f aca="false">Hypothèses!$F$23</f>
        <v>70</v>
      </c>
      <c r="N37" s="41" t="n">
        <f aca="false">SUM(B37:M37)</f>
        <v>840</v>
      </c>
    </row>
    <row r="38" customFormat="false" ht="15" hidden="false" customHeight="false" outlineLevel="0" collapsed="false">
      <c r="A38" s="0" t="s">
        <v>168</v>
      </c>
      <c r="B38" s="40" t="n">
        <f aca="false">Hypothèses!$F$24</f>
        <v>15</v>
      </c>
      <c r="C38" s="40" t="n">
        <f aca="false">Hypothèses!$F$24</f>
        <v>15</v>
      </c>
      <c r="D38" s="40" t="n">
        <f aca="false">Hypothèses!$F$24</f>
        <v>15</v>
      </c>
      <c r="E38" s="40" t="n">
        <f aca="false">Hypothèses!$F$24</f>
        <v>15</v>
      </c>
      <c r="F38" s="40" t="n">
        <f aca="false">Hypothèses!$F$24</f>
        <v>15</v>
      </c>
      <c r="G38" s="40" t="n">
        <f aca="false">Hypothèses!$F$24</f>
        <v>15</v>
      </c>
      <c r="H38" s="40" t="n">
        <f aca="false">Hypothèses!$F$24</f>
        <v>15</v>
      </c>
      <c r="I38" s="40" t="n">
        <f aca="false">Hypothèses!$F$24</f>
        <v>15</v>
      </c>
      <c r="J38" s="40" t="n">
        <f aca="false">Hypothèses!$F$24</f>
        <v>15</v>
      </c>
      <c r="K38" s="40" t="n">
        <f aca="false">Hypothèses!$F$24</f>
        <v>15</v>
      </c>
      <c r="L38" s="40" t="n">
        <f aca="false">Hypothèses!$F$24</f>
        <v>15</v>
      </c>
      <c r="M38" s="40" t="n">
        <f aca="false">Hypothèses!$F$24</f>
        <v>15</v>
      </c>
      <c r="N38" s="41" t="n">
        <f aca="false">SUM(B38:M38)</f>
        <v>180</v>
      </c>
    </row>
    <row r="39" customFormat="false" ht="15" hidden="false" customHeight="false" outlineLevel="0" collapsed="false">
      <c r="A39" s="23" t="s">
        <v>169</v>
      </c>
      <c r="B39" s="41" t="n">
        <f aca="false">SUM(B34:B38)</f>
        <v>109.25</v>
      </c>
      <c r="C39" s="41" t="n">
        <f aca="false">SUM(C34:C38)</f>
        <v>109.25</v>
      </c>
      <c r="D39" s="41" t="n">
        <f aca="false">SUM(D34:D38)</f>
        <v>109.25</v>
      </c>
      <c r="E39" s="41" t="n">
        <f aca="false">SUM(E34:E38)</f>
        <v>109.25</v>
      </c>
      <c r="F39" s="41" t="n">
        <f aca="false">SUM(F34:F38)</f>
        <v>109.25</v>
      </c>
      <c r="G39" s="41" t="n">
        <f aca="false">SUM(G34:G38)</f>
        <v>109.25</v>
      </c>
      <c r="H39" s="41" t="n">
        <f aca="false">SUM(H34:H38)</f>
        <v>109.25</v>
      </c>
      <c r="I39" s="41" t="n">
        <f aca="false">SUM(I34:I38)</f>
        <v>109.25</v>
      </c>
      <c r="J39" s="41" t="n">
        <f aca="false">SUM(J34:J38)</f>
        <v>109.25</v>
      </c>
      <c r="K39" s="41" t="n">
        <f aca="false">SUM(K34:K38)</f>
        <v>109.25</v>
      </c>
      <c r="L39" s="41" t="n">
        <f aca="false">SUM(L34:L38)</f>
        <v>109.25</v>
      </c>
      <c r="M39" s="41" t="n">
        <f aca="false">SUM(M34:M38)</f>
        <v>109.25</v>
      </c>
      <c r="N39" s="41" t="n">
        <f aca="false">SUM(B39:M39)</f>
        <v>1311</v>
      </c>
    </row>
    <row r="41" customFormat="false" ht="15" hidden="false" customHeight="false" outlineLevel="0" collapsed="false">
      <c r="A41" s="9" t="s">
        <v>170</v>
      </c>
      <c r="B41" s="9"/>
      <c r="C41" s="9"/>
      <c r="D41" s="9"/>
      <c r="E41" s="9"/>
      <c r="F41" s="9"/>
      <c r="G41" s="9"/>
      <c r="H41" s="9"/>
      <c r="I41" s="9"/>
      <c r="J41" s="9"/>
      <c r="K41" s="9"/>
      <c r="L41" s="9"/>
      <c r="M41" s="9"/>
      <c r="N41" s="9"/>
    </row>
    <row r="42" customFormat="false" ht="15" hidden="false" customHeight="false" outlineLevel="0" collapsed="false">
      <c r="A42" s="23" t="s">
        <v>171</v>
      </c>
      <c r="B42" s="39" t="n">
        <f aca="false">B30-B39</f>
        <v>296.8925</v>
      </c>
      <c r="C42" s="39" t="n">
        <f aca="false">C30-C39</f>
        <v>319.875375</v>
      </c>
      <c r="D42" s="39" t="n">
        <f aca="false">D30-D39</f>
        <v>912.00160625</v>
      </c>
      <c r="E42" s="39" t="n">
        <f aca="false">E30-E39</f>
        <v>962.7090259375</v>
      </c>
      <c r="F42" s="39" t="n">
        <f aca="false">F30-F39</f>
        <v>1581.17357464063</v>
      </c>
      <c r="G42" s="39" t="n">
        <f aca="false">G30-G39</f>
        <v>1656.90239590859</v>
      </c>
      <c r="H42" s="39" t="n">
        <f aca="false">H30-H39</f>
        <v>2299.13727611316</v>
      </c>
      <c r="I42" s="39" t="n">
        <f aca="false">I30-I39</f>
        <v>2397.44791230751</v>
      </c>
      <c r="J42" s="39" t="n">
        <f aca="false">J30-J39</f>
        <v>2654.99301669213</v>
      </c>
      <c r="K42" s="39" t="n">
        <f aca="false">K30-K39</f>
        <v>3156.84336585752</v>
      </c>
      <c r="L42" s="39" t="n">
        <f aca="false">L30-L39</f>
        <v>3270.74869756465</v>
      </c>
      <c r="M42" s="39" t="n">
        <f aca="false">M30-M39</f>
        <v>3543.10876268642</v>
      </c>
      <c r="N42" s="39" t="n">
        <f aca="false">SUM(B42:M42)</f>
        <v>23051.8335089581</v>
      </c>
    </row>
    <row r="43" customFormat="false" ht="15" hidden="false" customHeight="false" outlineLevel="0" collapsed="false">
      <c r="A43" s="23" t="s">
        <v>172</v>
      </c>
      <c r="B43" s="39" t="n">
        <f aca="false">Hypothèses!$F$25+B42</f>
        <v>296.8925</v>
      </c>
      <c r="C43" s="39" t="n">
        <f aca="false">B43+C42</f>
        <v>616.767875</v>
      </c>
      <c r="D43" s="39" t="n">
        <f aca="false">C43+D42</f>
        <v>1528.76948125</v>
      </c>
      <c r="E43" s="39" t="n">
        <f aca="false">D43+E42</f>
        <v>2491.4785071875</v>
      </c>
      <c r="F43" s="39" t="n">
        <f aca="false">E43+F42</f>
        <v>4072.65208182813</v>
      </c>
      <c r="G43" s="39" t="n">
        <f aca="false">F43+G42</f>
        <v>5729.55447773672</v>
      </c>
      <c r="H43" s="39" t="n">
        <f aca="false">G43+H42</f>
        <v>8028.69175384988</v>
      </c>
      <c r="I43" s="39" t="n">
        <f aca="false">H43+I42</f>
        <v>10426.1396661574</v>
      </c>
      <c r="J43" s="39" t="n">
        <f aca="false">I43+J42</f>
        <v>13081.1326828495</v>
      </c>
      <c r="K43" s="39" t="n">
        <f aca="false">J43+K42</f>
        <v>16237.976048707</v>
      </c>
      <c r="L43" s="39" t="n">
        <f aca="false">K43+L42</f>
        <v>19508.7247462717</v>
      </c>
      <c r="M43" s="39" t="n">
        <f aca="false">L43+M42</f>
        <v>23051.8335089581</v>
      </c>
      <c r="N43" s="39" t="n">
        <f aca="false">M43</f>
        <v>23051.8335089581</v>
      </c>
    </row>
    <row r="45" customFormat="false" ht="15" hidden="false" customHeight="false" outlineLevel="0" collapsed="false">
      <c r="A45" s="9" t="s">
        <v>173</v>
      </c>
      <c r="B45" s="9"/>
      <c r="C45" s="9"/>
      <c r="D45" s="9"/>
      <c r="E45" s="9"/>
      <c r="F45" s="9"/>
      <c r="G45" s="9"/>
      <c r="H45" s="9"/>
      <c r="I45" s="9"/>
      <c r="J45" s="9"/>
      <c r="K45" s="9"/>
      <c r="L45" s="9"/>
      <c r="M45" s="9"/>
      <c r="N45" s="9"/>
    </row>
    <row r="46" customFormat="false" ht="15" hidden="false" customHeight="false" outlineLevel="0" collapsed="false">
      <c r="A46" s="0" t="s">
        <v>174</v>
      </c>
      <c r="B46" s="32" t="n">
        <f aca="false">B9*Hypothèses!$F$28+B13*Hypothèses!$F$29+Hypothèses!$F$30</f>
        <v>12.25</v>
      </c>
      <c r="C46" s="32" t="n">
        <f aca="false">C9*Hypothèses!$F$28+C13*Hypothèses!$F$29+Hypothèses!$F$30</f>
        <v>12.4875</v>
      </c>
      <c r="D46" s="32" t="n">
        <f aca="false">D9*Hypothèses!$F$28+D13*Hypothèses!$F$29+Hypothèses!$F$30</f>
        <v>16.963125</v>
      </c>
      <c r="E46" s="32" t="n">
        <f aca="false">E9*Hypothèses!$F$28+E13*Hypothèses!$F$29+Hypothèses!$F$30</f>
        <v>17.41496875</v>
      </c>
      <c r="F46" s="32" t="n">
        <f aca="false">F9*Hypothèses!$F$28+F13*Hypothèses!$F$29+Hypothèses!$F$30</f>
        <v>22.0942203125</v>
      </c>
      <c r="G46" s="32" t="n">
        <f aca="false">G9*Hypothèses!$F$28+G13*Hypothèses!$F$29+Hypothèses!$F$30</f>
        <v>22.739509296875</v>
      </c>
      <c r="H46" s="32" t="n">
        <f aca="false">H9*Hypothèses!$F$28+H13*Hypothèses!$F$29+Hypothèses!$F$30</f>
        <v>27.6025338320313</v>
      </c>
      <c r="I46" s="32" t="n">
        <f aca="false">I9*Hypothèses!$F$28+I13*Hypothèses!$F$29+Hypothèses!$F$30</f>
        <v>28.4224071404297</v>
      </c>
      <c r="J46" s="32" t="n">
        <f aca="false">J9*Hypothèses!$F$28+J13*Hypothèses!$F$29+Hypothèses!$F$30</f>
        <v>29.2012867834082</v>
      </c>
      <c r="K46" s="32" t="n">
        <f aca="false">K9*Hypothèses!$F$28+K13*Hypothèses!$F$29+Hypothèses!$F$30</f>
        <v>34.1912224442378</v>
      </c>
      <c r="L46" s="32" t="n">
        <f aca="false">L9*Hypothèses!$F$28+L13*Hypothèses!$F$29+Hypothèses!$F$30</f>
        <v>35.1316613220259</v>
      </c>
      <c r="M46" s="32" t="n">
        <f aca="false">M9*Hypothèses!$F$28+M13*Hypothèses!$F$29+Hypothèses!$F$30</f>
        <v>36.0250782559246</v>
      </c>
      <c r="N46" s="33" t="n">
        <f aca="false">SUM(B46:M46)</f>
        <v>294.523513137432</v>
      </c>
    </row>
    <row r="47" customFormat="false" ht="15" hidden="false" customHeight="false" outlineLevel="0" collapsed="false">
      <c r="A47" s="0" t="s">
        <v>175</v>
      </c>
      <c r="B47" s="32" t="n">
        <f aca="false">Hypothèses!$F$27</f>
        <v>40</v>
      </c>
      <c r="C47" s="32" t="n">
        <f aca="false">Hypothèses!$F$27</f>
        <v>40</v>
      </c>
      <c r="D47" s="32" t="n">
        <f aca="false">Hypothèses!$F$27</f>
        <v>40</v>
      </c>
      <c r="E47" s="32" t="n">
        <f aca="false">Hypothèses!$F$27</f>
        <v>40</v>
      </c>
      <c r="F47" s="32" t="n">
        <f aca="false">Hypothèses!$F$27</f>
        <v>40</v>
      </c>
      <c r="G47" s="32" t="n">
        <f aca="false">Hypothèses!$F$27</f>
        <v>40</v>
      </c>
      <c r="H47" s="32" t="n">
        <f aca="false">Hypothèses!$F$27</f>
        <v>40</v>
      </c>
      <c r="I47" s="32" t="n">
        <f aca="false">Hypothèses!$F$27</f>
        <v>40</v>
      </c>
      <c r="J47" s="32" t="n">
        <f aca="false">Hypothèses!$F$27</f>
        <v>40</v>
      </c>
      <c r="K47" s="32" t="n">
        <f aca="false">Hypothèses!$F$27</f>
        <v>40</v>
      </c>
      <c r="L47" s="32" t="n">
        <f aca="false">Hypothèses!$F$27</f>
        <v>40</v>
      </c>
      <c r="M47" s="32" t="n">
        <f aca="false">Hypothèses!$F$27</f>
        <v>40</v>
      </c>
      <c r="N47" s="33" t="n">
        <f aca="false">SUM(B47:M47)</f>
        <v>480</v>
      </c>
    </row>
    <row r="48" customFormat="false" ht="15" hidden="false" customHeight="false" outlineLevel="0" collapsed="false">
      <c r="A48" s="0" t="s">
        <v>176</v>
      </c>
      <c r="B48" s="44" t="str">
        <f aca="false">IF(B46&gt;B47,"OUI","non")</f>
        <v>non</v>
      </c>
      <c r="C48" s="44" t="str">
        <f aca="false">IF(C46&gt;C47,"OUI","non")</f>
        <v>non</v>
      </c>
      <c r="D48" s="44" t="str">
        <f aca="false">IF(D46&gt;D47,"OUI","non")</f>
        <v>non</v>
      </c>
      <c r="E48" s="44" t="str">
        <f aca="false">IF(E46&gt;E47,"OUI","non")</f>
        <v>non</v>
      </c>
      <c r="F48" s="44" t="str">
        <f aca="false">IF(F46&gt;F47,"OUI","non")</f>
        <v>non</v>
      </c>
      <c r="G48" s="44" t="str">
        <f aca="false">IF(G46&gt;G47,"OUI","non")</f>
        <v>non</v>
      </c>
      <c r="H48" s="44" t="str">
        <f aca="false">IF(H46&gt;H47,"OUI","non")</f>
        <v>non</v>
      </c>
      <c r="I48" s="44" t="str">
        <f aca="false">IF(I46&gt;I47,"OUI","non")</f>
        <v>non</v>
      </c>
      <c r="J48" s="44" t="str">
        <f aca="false">IF(J46&gt;J47,"OUI","non")</f>
        <v>non</v>
      </c>
      <c r="K48" s="44" t="str">
        <f aca="false">IF(K46&gt;K47,"OUI","non")</f>
        <v>non</v>
      </c>
      <c r="L48" s="44" t="str">
        <f aca="false">IF(L46&gt;L47,"OUI","non")</f>
        <v>non</v>
      </c>
      <c r="M48" s="44" t="str">
        <f aca="false">IF(M46&gt;M47,"OUI","non")</f>
        <v>non</v>
      </c>
      <c r="N48" s="45" t="str">
        <f aca="false">IF(COUNTIF(B48:M48,"OUI")&gt;0,"OUI","non")</f>
        <v>non</v>
      </c>
    </row>
    <row r="49" customFormat="false" ht="15" hidden="false" customHeight="false" outlineLevel="0" collapsed="false">
      <c r="A49" s="0" t="s">
        <v>177</v>
      </c>
      <c r="B49" s="38" t="n">
        <f aca="false">B46*Hypothèses!$F$31</f>
        <v>428.75</v>
      </c>
      <c r="C49" s="38" t="n">
        <f aca="false">C46*Hypothèses!$F$31</f>
        <v>437.0625</v>
      </c>
      <c r="D49" s="38" t="n">
        <f aca="false">D46*Hypothèses!$F$31</f>
        <v>593.709375</v>
      </c>
      <c r="E49" s="38" t="n">
        <f aca="false">E46*Hypothèses!$F$31</f>
        <v>609.52390625</v>
      </c>
      <c r="F49" s="38" t="n">
        <f aca="false">F46*Hypothèses!$F$31</f>
        <v>773.2977109375</v>
      </c>
      <c r="G49" s="38" t="n">
        <f aca="false">G46*Hypothèses!$F$31</f>
        <v>795.882825390625</v>
      </c>
      <c r="H49" s="38" t="n">
        <f aca="false">H46*Hypothèses!$F$31</f>
        <v>966.088684121094</v>
      </c>
      <c r="I49" s="38" t="n">
        <f aca="false">I46*Hypothèses!$F$31</f>
        <v>994.784249915039</v>
      </c>
      <c r="J49" s="38" t="n">
        <f aca="false">J46*Hypothèses!$F$31</f>
        <v>1022.04503741929</v>
      </c>
      <c r="K49" s="38" t="n">
        <f aca="false">K46*Hypothèses!$F$31</f>
        <v>1196.69278554832</v>
      </c>
      <c r="L49" s="38" t="n">
        <f aca="false">L46*Hypothèses!$F$31</f>
        <v>1229.60814627091</v>
      </c>
      <c r="M49" s="38" t="n">
        <f aca="false">M46*Hypothèses!$F$31</f>
        <v>1260.87773895736</v>
      </c>
      <c r="N49" s="39" t="n">
        <f aca="false">SUM(B49:M49)</f>
        <v>10308.3229598101</v>
      </c>
    </row>
    <row r="50" customFormat="false" ht="15" hidden="false" customHeight="false" outlineLevel="0" collapsed="false">
      <c r="A50" s="23" t="s">
        <v>178</v>
      </c>
      <c r="B50" s="39" t="n">
        <f aca="false">B42-B49</f>
        <v>-131.8575</v>
      </c>
      <c r="C50" s="39" t="n">
        <f aca="false">C42-C49</f>
        <v>-117.187125</v>
      </c>
      <c r="D50" s="39" t="n">
        <f aca="false">D42-D49</f>
        <v>318.29223125</v>
      </c>
      <c r="E50" s="39" t="n">
        <f aca="false">E42-E49</f>
        <v>353.1851196875</v>
      </c>
      <c r="F50" s="39" t="n">
        <f aca="false">F42-F49</f>
        <v>807.875863703125</v>
      </c>
      <c r="G50" s="39" t="n">
        <f aca="false">G42-G49</f>
        <v>861.019570517969</v>
      </c>
      <c r="H50" s="39" t="n">
        <f aca="false">H42-H49</f>
        <v>1333.04859199207</v>
      </c>
      <c r="I50" s="39" t="n">
        <f aca="false">I42-I49</f>
        <v>1402.66366239247</v>
      </c>
      <c r="J50" s="39" t="n">
        <f aca="false">J42-J49</f>
        <v>1632.94797927284</v>
      </c>
      <c r="K50" s="39" t="n">
        <f aca="false">K42-K49</f>
        <v>1960.1505803092</v>
      </c>
      <c r="L50" s="39" t="n">
        <f aca="false">L42-L49</f>
        <v>2041.14055129374</v>
      </c>
      <c r="M50" s="39" t="n">
        <f aca="false">M42-M49</f>
        <v>2282.23102372905</v>
      </c>
      <c r="N50" s="39" t="n">
        <f aca="false">SUM(B50:M50)</f>
        <v>12743.510549148</v>
      </c>
    </row>
    <row r="51" customFormat="false" ht="15" hidden="false" customHeight="false" outlineLevel="0" collapsed="false">
      <c r="A51" s="0" t="s">
        <v>179</v>
      </c>
      <c r="B51" s="40" t="n">
        <f aca="false">IF(B46&gt;0,B42/B46,0)</f>
        <v>24.2361224489796</v>
      </c>
      <c r="C51" s="40" t="n">
        <f aca="false">IF(C46&gt;0,C42/C46,0)</f>
        <v>25.6156456456456</v>
      </c>
      <c r="D51" s="40" t="n">
        <f aca="false">IF(D46&gt;0,D42/D46,0)</f>
        <v>53.7637732581703</v>
      </c>
      <c r="E51" s="40" t="n">
        <f aca="false">IF(E46&gt;0,E42/E46,0)</f>
        <v>55.2805485762069</v>
      </c>
      <c r="F51" s="40" t="n">
        <f aca="false">IF(F46&gt;0,F42/F46,0)</f>
        <v>71.5650315909117</v>
      </c>
      <c r="G51" s="40" t="n">
        <f aca="false">IF(G46&gt;0,G42/G46,0)</f>
        <v>72.8644745265587</v>
      </c>
      <c r="H51" s="40" t="n">
        <f aca="false">IF(H46&gt;0,H42/H46,0)</f>
        <v>83.2944283341531</v>
      </c>
      <c r="I51" s="40" t="n">
        <f aca="false">IF(I46&gt;0,I42/I46,0)</f>
        <v>84.3506287297263</v>
      </c>
      <c r="J51" s="40" t="n">
        <f aca="false">IF(J46&gt;0,J42/J46,0)</f>
        <v>90.9204117059891</v>
      </c>
      <c r="K51" s="40" t="n">
        <f aca="false">IF(K46&gt;0,K42/K46,0)</f>
        <v>92.3290581670777</v>
      </c>
      <c r="L51" s="40" t="n">
        <f aca="false">IF(L46&gt;0,L42/L46,0)</f>
        <v>93.0997446316051</v>
      </c>
      <c r="M51" s="40" t="n">
        <f aca="false">IF(M46&gt;0,M42/M46,0)</f>
        <v>98.3511746321807</v>
      </c>
      <c r="N51" s="41" t="n">
        <f aca="false">IF(N46&gt;0,N42/N46,0)</f>
        <v>78.2682281064654</v>
      </c>
    </row>
    <row r="53" customFormat="false" ht="15" hidden="false" customHeight="false" outlineLevel="0" collapsed="false">
      <c r="A53" s="9" t="s">
        <v>180</v>
      </c>
      <c r="B53" s="9"/>
      <c r="C53" s="9"/>
      <c r="D53" s="9"/>
      <c r="E53" s="9"/>
      <c r="F53" s="9"/>
      <c r="G53" s="9"/>
      <c r="H53" s="9"/>
      <c r="I53" s="9"/>
      <c r="J53" s="9"/>
      <c r="K53" s="9"/>
      <c r="L53" s="9"/>
      <c r="M53" s="9"/>
      <c r="N53" s="9"/>
    </row>
    <row r="54" customFormat="false" ht="15" hidden="false" customHeight="false" outlineLevel="0" collapsed="false">
      <c r="A54" s="23" t="s">
        <v>181</v>
      </c>
      <c r="B54" s="46" t="str">
        <f aca="false">IF(MIN(B57:M57)=99,"non atteint en 12 mois","M"&amp;MIN(B57:M57))</f>
        <v>M1</v>
      </c>
      <c r="C54" s="46"/>
      <c r="D54" s="46"/>
    </row>
    <row r="55" customFormat="false" ht="15" hidden="false" customHeight="false" outlineLevel="0" collapsed="false">
      <c r="A55" s="23" t="s">
        <v>182</v>
      </c>
      <c r="B55" s="46" t="str">
        <f aca="false">IF(MIN(B58:M58)=99,"non atteint en 12 mois","M"&amp;MIN(B58:M58))</f>
        <v>M3</v>
      </c>
      <c r="C55" s="46"/>
      <c r="D55" s="46"/>
    </row>
    <row r="56" customFormat="false" ht="15" hidden="false" customHeight="false" outlineLevel="0" collapsed="false">
      <c r="A56" s="23" t="s">
        <v>183</v>
      </c>
      <c r="B56" s="46" t="str">
        <f aca="false">IF(MIN(B59:M59)=99,"non atteint en 12 mois","M"&amp;MIN(B59:M59))</f>
        <v>M1</v>
      </c>
      <c r="C56" s="46"/>
      <c r="D56" s="46"/>
    </row>
    <row r="57" customFormat="false" ht="15" hidden="false" customHeight="false" outlineLevel="0" collapsed="false">
      <c r="A57" s="47" t="s">
        <v>184</v>
      </c>
      <c r="B57" s="48" t="n">
        <f aca="false">IF(B42&gt;=0,B$6,99)</f>
        <v>1</v>
      </c>
      <c r="C57" s="48" t="n">
        <f aca="false">IF(C42&gt;=0,C$6,99)</f>
        <v>2</v>
      </c>
      <c r="D57" s="48" t="n">
        <f aca="false">IF(D42&gt;=0,D$6,99)</f>
        <v>3</v>
      </c>
      <c r="E57" s="48" t="n">
        <f aca="false">IF(E42&gt;=0,E$6,99)</f>
        <v>4</v>
      </c>
      <c r="F57" s="48" t="n">
        <f aca="false">IF(F42&gt;=0,F$6,99)</f>
        <v>5</v>
      </c>
      <c r="G57" s="48" t="n">
        <f aca="false">IF(G42&gt;=0,G$6,99)</f>
        <v>6</v>
      </c>
      <c r="H57" s="48" t="n">
        <f aca="false">IF(H42&gt;=0,H$6,99)</f>
        <v>7</v>
      </c>
      <c r="I57" s="48" t="n">
        <f aca="false">IF(I42&gt;=0,I$6,99)</f>
        <v>8</v>
      </c>
      <c r="J57" s="48" t="n">
        <f aca="false">IF(J42&gt;=0,J$6,99)</f>
        <v>9</v>
      </c>
      <c r="K57" s="48" t="n">
        <f aca="false">IF(K42&gt;=0,K$6,99)</f>
        <v>10</v>
      </c>
      <c r="L57" s="48" t="n">
        <f aca="false">IF(L42&gt;=0,L$6,99)</f>
        <v>11</v>
      </c>
      <c r="M57" s="48" t="n">
        <f aca="false">IF(M42&gt;=0,M$6,99)</f>
        <v>12</v>
      </c>
      <c r="N57" s="48"/>
    </row>
    <row r="58" customFormat="false" ht="15" hidden="false" customHeight="false" outlineLevel="0" collapsed="false">
      <c r="A58" s="47" t="s">
        <v>185</v>
      </c>
      <c r="B58" s="48" t="n">
        <f aca="false">IF(B50&gt;=0,B$6,99)</f>
        <v>99</v>
      </c>
      <c r="C58" s="48" t="n">
        <f aca="false">IF(C50&gt;=0,C$6,99)</f>
        <v>99</v>
      </c>
      <c r="D58" s="48" t="n">
        <f aca="false">IF(D50&gt;=0,D$6,99)</f>
        <v>3</v>
      </c>
      <c r="E58" s="48" t="n">
        <f aca="false">IF(E50&gt;=0,E$6,99)</f>
        <v>4</v>
      </c>
      <c r="F58" s="48" t="n">
        <f aca="false">IF(F50&gt;=0,F$6,99)</f>
        <v>5</v>
      </c>
      <c r="G58" s="48" t="n">
        <f aca="false">IF(G50&gt;=0,G$6,99)</f>
        <v>6</v>
      </c>
      <c r="H58" s="48" t="n">
        <f aca="false">IF(H50&gt;=0,H$6,99)</f>
        <v>7</v>
      </c>
      <c r="I58" s="48" t="n">
        <f aca="false">IF(I50&gt;=0,I$6,99)</f>
        <v>8</v>
      </c>
      <c r="J58" s="48" t="n">
        <f aca="false">IF(J50&gt;=0,J$6,99)</f>
        <v>9</v>
      </c>
      <c r="K58" s="48" t="n">
        <f aca="false">IF(K50&gt;=0,K$6,99)</f>
        <v>10</v>
      </c>
      <c r="L58" s="48" t="n">
        <f aca="false">IF(L50&gt;=0,L$6,99)</f>
        <v>11</v>
      </c>
      <c r="M58" s="48" t="n">
        <f aca="false">IF(M50&gt;=0,M$6,99)</f>
        <v>12</v>
      </c>
      <c r="N58" s="48"/>
    </row>
    <row r="59" customFormat="false" ht="15" hidden="false" customHeight="false" outlineLevel="0" collapsed="false">
      <c r="A59" s="47" t="s">
        <v>186</v>
      </c>
      <c r="B59" s="48" t="n">
        <f aca="false">IF(B43&gt;=0,B$6,99)</f>
        <v>1</v>
      </c>
      <c r="C59" s="48" t="n">
        <f aca="false">IF(C43&gt;=0,C$6,99)</f>
        <v>2</v>
      </c>
      <c r="D59" s="48" t="n">
        <f aca="false">IF(D43&gt;=0,D$6,99)</f>
        <v>3</v>
      </c>
      <c r="E59" s="48" t="n">
        <f aca="false">IF(E43&gt;=0,E$6,99)</f>
        <v>4</v>
      </c>
      <c r="F59" s="48" t="n">
        <f aca="false">IF(F43&gt;=0,F$6,99)</f>
        <v>5</v>
      </c>
      <c r="G59" s="48" t="n">
        <f aca="false">IF(G43&gt;=0,G$6,99)</f>
        <v>6</v>
      </c>
      <c r="H59" s="48" t="n">
        <f aca="false">IF(H43&gt;=0,H$6,99)</f>
        <v>7</v>
      </c>
      <c r="I59" s="48" t="n">
        <f aca="false">IF(I43&gt;=0,I$6,99)</f>
        <v>8</v>
      </c>
      <c r="J59" s="48" t="n">
        <f aca="false">IF(J43&gt;=0,J$6,99)</f>
        <v>9</v>
      </c>
      <c r="K59" s="48" t="n">
        <f aca="false">IF(K43&gt;=0,K$6,99)</f>
        <v>10</v>
      </c>
      <c r="L59" s="48" t="n">
        <f aca="false">IF(L43&gt;=0,L$6,99)</f>
        <v>11</v>
      </c>
      <c r="M59" s="48" t="n">
        <f aca="false">IF(M43&gt;=0,M$6,99)</f>
        <v>12</v>
      </c>
      <c r="N59" s="48"/>
    </row>
    <row r="61" customFormat="false" ht="15" hidden="false" customHeight="false" outlineLevel="0" collapsed="false">
      <c r="A61" s="23" t="s">
        <v>187</v>
      </c>
      <c r="B61" s="38" t="n">
        <f aca="false">Hypothèses!$F$11*12</f>
        <v>1800</v>
      </c>
    </row>
    <row r="62" customFormat="false" ht="15" hidden="false" customHeight="false" outlineLevel="0" collapsed="false">
      <c r="A62" s="23" t="s">
        <v>188</v>
      </c>
      <c r="B62" s="10" t="n">
        <v>3000</v>
      </c>
      <c r="E62" s="11" t="s">
        <v>189</v>
      </c>
    </row>
    <row r="63" customFormat="false" ht="15" hidden="false" customHeight="false" outlineLevel="0" collapsed="false">
      <c r="A63" s="23" t="s">
        <v>190</v>
      </c>
      <c r="B63" s="0" t="str">
        <f aca="false">IF(B61&gt;=B62,"oui","NON — revoir l'hypothèse")</f>
        <v>NON — revoir l'hypothèse</v>
      </c>
    </row>
    <row r="65" customFormat="false" ht="15" hidden="false" customHeight="false" outlineLevel="0" collapsed="false">
      <c r="A65" s="49" t="s">
        <v>191</v>
      </c>
      <c r="B65" s="49"/>
      <c r="C65" s="49"/>
      <c r="D65" s="49"/>
      <c r="E65" s="49"/>
      <c r="F65" s="49"/>
      <c r="G65" s="49"/>
      <c r="H65" s="49"/>
      <c r="I65" s="49"/>
      <c r="J65" s="49"/>
      <c r="K65" s="49"/>
      <c r="L65" s="49"/>
      <c r="M65" s="49"/>
      <c r="N65" s="49"/>
    </row>
  </sheetData>
  <mergeCells count="5">
    <mergeCell ref="B3:C3"/>
    <mergeCell ref="B54:D54"/>
    <mergeCell ref="B55:D55"/>
    <mergeCell ref="B56:D56"/>
    <mergeCell ref="A65:N65"/>
  </mergeCells>
  <dataValidations count="1">
    <dataValidation allowBlank="false" errorStyle="stop" operator="between" showDropDown="false" showErrorMessage="false" showInputMessage="false" sqref="B3" type="list">
      <formula1>"prudent,central,ambitieux"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2026-10-02T09:15:11Z</dcterms:created>
  <dc:creator>openpyxl</dc:creator>
  <dc:description/>
  <dc:language>en-US</dc:language>
  <cp:lastModifiedBy/>
  <dcterms:modified xsi:type="dcterms:W3CDTF">2026-10-02T09:15:11Z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